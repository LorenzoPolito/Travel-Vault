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TINERARIO" sheetId="2" state="visible" r:id="rId2"/>
    <sheet name="ATTIVITÀ" sheetId="3" state="visible" r:id="rId3"/>
    <sheet name="PRENOTAZIONI" sheetId="4" state="visible" r:id="rId4"/>
    <sheet name="SPESE" sheetId="5" state="visible" r:id="rId5"/>
    <sheet name="BUDGET" sheetId="6" state="visible" r:id="rId6"/>
    <sheet name="SCADENZE" sheetId="7" state="visible" r:id="rId7"/>
    <sheet name="SALDI" sheetId="8" state="visible" r:id="rId8"/>
    <sheet name="LOGISTICA" sheetId="9" state="visible" r:id="rId9"/>
    <sheet name="CONFIG" sheetId="10" state="visible" r:id="rId10"/>
  </sheets>
  <definedNames>
    <definedName name="NomeViaggio">CONFIG!$B$5</definedName>
    <definedName name="DataPartenza">CONFIG!$B$6</definedName>
    <definedName name="DataRitorno">CONFIG!$B$7</definedName>
    <definedName name="UltimoGiorno">CONFIG!$B$8</definedName>
    <definedName name="N_Persone">CONFIG!$B$9</definedName>
    <definedName name="Tasso_JPY_EUR">CONFIG!$B$10</definedName>
    <definedName name="Budget_Target_Pax">CONFIG!$B$11</definedName>
    <definedName name="ListaCategorie">OFFSET(CONFIG!$A$62,0,0,COUNTA(CONFIG!$A$62:$A$140),1)</definedName>
    <definedName name="ListaStati">OFFSET(CONFIG!$D$62,0,0,COUNTA(CONFIG!$D$62:$D$140),1)</definedName>
    <definedName name="ListaPersone">OFFSET(CONFIG!$B$15,0,0,COUNTA(CONFIG!$B$15:$B$19),1)</definedName>
    <definedName name="ListaPartecipa">OFFSET(CONFIG!$F$62,0,0,COUNTA(CONFIG!$F$62:$F$140),1)</definedName>
    <definedName name="ListaPriorita">OFFSET(CONFIG!$H$62,0,0,COUNTA(CONFIG!$H$62:$H$140),1)</definedName>
    <definedName name="ListaValute">OFFSET(CONFIG!$J$62,0,0,COUNTA(CONFIG!$J$62:$J$140),1)</definedName>
    <definedName name="ListaTipo">OFFSET(CONFIG!$L$62,0,0,COUNTA(CONFIG!$L$62:$L$140),1)</definedName>
    <definedName name="ListaStatiAtt">OFFSET(CONFIG!$N$62,0,0,COUNTA(CONFIG!$N$62:$N$140),1)</definedName>
    <definedName name="BudgetVoli">CONFIG!$B$36</definedName>
    <definedName name="BudgetAlloggio">CONFIG!$B$37</definedName>
    <definedName name="BudgetTrasporti">CONFIG!$B$38</definedName>
    <definedName name="BudgetIngressi">CONFIG!$B$39</definedName>
    <definedName name="BudgetCibo">CONFIG!$B$40</definedName>
    <definedName name="BudgetPersonali">CONFIG!$B$41</definedName>
    <definedName name="BudgetSouvenir">CONFIG!$B$42</definedName>
    <definedName name="BudgetAssicurazione">CONFIG!$B$43</definedName>
    <definedName name="BudgetESIM">CONFIG!$B$44</definedName>
    <definedName name="BudgetBagagli">CONFIG!$B$45</definedName>
    <definedName name="BudgetExtra">CONFIG!$B$46</definedName>
    <definedName name="Spese_Categoria">SPESE!$C$5:$C$124</definedName>
    <definedName name="Spese_ImportoTot">SPESE!$G$5:$G$124</definedName>
    <definedName name="Spese_PagatoDa">SPESE!$H$5:$H$124</definedName>
    <definedName name="Spese_P1">SPESE!$I$5:$I$124</definedName>
    <definedName name="Spese_P2">SPESE!$J$5:$J$124</definedName>
    <definedName name="Spese_P3">SPESE!$K$5:$K$124</definedName>
    <definedName name="Spese_QuotaPax">SPESE!$M$5:$M$124</definedName>
    <definedName name="Pren_Stato">PRENOTAZIONI!$N$5:$N$54</definedName>
    <definedName name="Pren_Voce">PRENOTAZIONI!$A$5:$A$54</definedName>
    <definedName name="Att_Giorno">'ATTIVITÀ'!$A$5:$A$300</definedName>
    <definedName name="Att_Stato">'ATTIVITÀ'!$I$5:$I$300</definedName>
    <definedName name="Att_Attivita">'ATTIVITÀ'!$D$5:$D$300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#,##0.00&quot; €&quot;"/>
    <numFmt numFmtId="167" formatCode="#,##0&quot; ¥&quot;"/>
    <numFmt numFmtId="168" formatCode="#,##0.00&quot; €&quot;;-#,##0.00&quot; €&quot;;&quot;&quot;"/>
    <numFmt numFmtId="169" formatCode="&quot;G&quot;0"/>
    <numFmt numFmtId="170" formatCode="0.0%"/>
    <numFmt numFmtId="171" formatCode="0&quot; giorni&quot;"/>
    <numFmt numFmtId="172" formatCode="#,##0&quot; €&quot;"/>
  </numFmts>
  <fonts count="9">
    <font>
      <name val="Calibri"/>
      <family val="2"/>
      <color theme="1"/>
      <sz val="11"/>
      <scheme val="minor"/>
    </font>
    <font>
      <name val="Yu Mincho"/>
      <b val="1"/>
      <color rgb="00A6285A"/>
      <sz val="22"/>
    </font>
    <font>
      <name val="Yu Gothic"/>
      <i val="1"/>
      <color rgb="008A6572"/>
      <sz val="11"/>
    </font>
    <font>
      <name val="Yu Mincho"/>
      <b val="1"/>
      <color rgb="00FFFFFF"/>
      <sz val="13"/>
    </font>
    <font>
      <name val="Yu Gothic"/>
      <b val="1"/>
      <color rgb="004A2B3A"/>
      <sz val="11"/>
    </font>
    <font>
      <name val="Yu Gothic"/>
      <color rgb="004A2B3A"/>
      <sz val="11"/>
    </font>
    <font>
      <name val="Yu Gothic"/>
      <b val="1"/>
      <color rgb="00FFFFFF"/>
      <sz val="10"/>
    </font>
    <font>
      <name val="Yu Gothic"/>
      <color rgb="008A6572"/>
      <sz val="9"/>
    </font>
    <font>
      <name val="Yu Mincho"/>
      <b val="1"/>
      <color rgb="00A6285A"/>
      <sz val="18"/>
    </font>
  </fonts>
  <fills count="8">
    <fill>
      <patternFill/>
    </fill>
    <fill>
      <patternFill patternType="gray125"/>
    </fill>
    <fill>
      <patternFill patternType="solid">
        <fgColor rgb="00FFF5F8"/>
      </patternFill>
    </fill>
    <fill>
      <patternFill patternType="solid">
        <fgColor rgb="00A6285A"/>
      </patternFill>
    </fill>
    <fill>
      <patternFill patternType="solid">
        <fgColor rgb="00F7F2F4"/>
      </patternFill>
    </fill>
    <fill>
      <patternFill patternType="solid">
        <fgColor rgb="00D94F79"/>
      </patternFill>
    </fill>
    <fill>
      <patternFill patternType="solid">
        <fgColor rgb="00F6A5C0"/>
      </patternFill>
    </fill>
    <fill>
      <patternFill patternType="solid">
        <fgColor rgb="00FCE4EC"/>
      </patternFill>
    </fill>
  </fills>
  <borders count="8">
    <border>
      <left/>
      <right/>
      <top/>
      <bottom/>
      <diagonal/>
    </border>
    <border>
      <left style="thin">
        <color rgb="00F0C4D4"/>
      </left>
      <right style="thin">
        <color rgb="00F0C4D4"/>
      </right>
      <top style="thin">
        <color rgb="00F0C4D4"/>
      </top>
      <bottom style="thin">
        <color rgb="00F0C4D4"/>
      </bottom>
    </border>
    <border>
      <left/>
      <right/>
      <top style="thin">
        <color rgb="00F0C4D4"/>
      </top>
      <bottom/>
      <diagonal/>
    </border>
    <border>
      <left/>
      <right style="thin">
        <color rgb="00F0C4D4"/>
      </right>
      <top style="thin">
        <color rgb="00F0C4D4"/>
      </top>
      <bottom/>
      <diagonal/>
    </border>
    <border>
      <left/>
      <right/>
      <top style="thin">
        <color rgb="00F0C4D4"/>
      </top>
      <bottom style="thin">
        <color rgb="00F0C4D4"/>
      </bottom>
      <diagonal/>
    </border>
    <border>
      <left/>
      <right style="thin">
        <color rgb="00F0C4D4"/>
      </right>
      <top style="thin">
        <color rgb="00F0C4D4"/>
      </top>
      <bottom style="thin">
        <color rgb="00F0C4D4"/>
      </bottom>
      <diagonal/>
    </border>
    <border>
      <left style="thick">
        <color rgb="00D94F79"/>
      </left>
      <right style="thick">
        <color rgb="00D94F79"/>
      </right>
      <top style="thick">
        <color rgb="00D94F79"/>
      </top>
    </border>
    <border>
      <left style="thick">
        <color rgb="00D94F79"/>
      </left>
      <right style="thick">
        <color rgb="00D94F79"/>
      </right>
      <bottom style="thick">
        <color rgb="00D94F7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4" fillId="7" borderId="6" applyAlignment="1" pivotButton="0" quotePrefix="0" xfId="0">
      <alignment horizontal="center" vertical="center" wrapText="1"/>
    </xf>
    <xf numFmtId="171" fontId="8" fillId="7" borderId="7" applyAlignment="1" pivotButton="0" quotePrefix="0" xfId="0">
      <alignment horizontal="center" vertical="center" wrapText="1"/>
    </xf>
    <xf numFmtId="172" fontId="8" fillId="7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4" fillId="6" borderId="1" pivotButton="0" quotePrefix="0" xfId="0"/>
    <xf numFmtId="0" fontId="0" fillId="6" borderId="1" pivotButton="0" quotePrefix="0" xfId="0"/>
    <xf numFmtId="166" fontId="4" fillId="6" borderId="1" pivotButton="0" quotePrefix="0" xfId="0"/>
    <xf numFmtId="167" fontId="5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9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166" fontId="5" fillId="0" borderId="1" pivotButton="0" quotePrefix="0" xfId="0"/>
    <xf numFmtId="170" fontId="0" fillId="0" borderId="1" pivotButton="0" quotePrefix="0" xfId="0"/>
    <xf numFmtId="0" fontId="7" fillId="0" borderId="1" pivotButton="0" quotePrefix="0" xfId="0"/>
    <xf numFmtId="170" fontId="4" fillId="6" borderId="1" pivotButton="0" quotePrefix="0" xfId="0"/>
    <xf numFmtId="0" fontId="5" fillId="0" borderId="1" pivotButton="0" quotePrefix="0" xfId="0"/>
    <xf numFmtId="0" fontId="4" fillId="7" borderId="1" pivotButton="0" quotePrefix="0" xfId="0"/>
    <xf numFmtId="166" fontId="4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4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4">
    <dxf>
      <font>
        <color rgb="007A5B00"/>
      </font>
      <fill>
        <patternFill patternType="solid">
          <fgColor rgb="00FFF9C4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  <dxf>
      <font>
        <color rgb="00B71C1C"/>
      </font>
      <fill>
        <patternFill patternType="solid">
          <fgColor rgb="00FFCDD2"/>
        </patternFill>
      </fill>
    </dxf>
    <dxf>
      <font>
        <color rgb="00607D8B"/>
      </font>
      <fill>
        <patternFill patternType="solid">
          <fgColor rgb="00ECEFF1"/>
        </patternFill>
      </fill>
    </dxf>
    <dxf>
      <font>
        <b val="1"/>
        <color rgb="0001579B"/>
      </font>
      <fill>
        <patternFill patternType="solid">
          <fgColor rgb="00B3E5FC"/>
        </patternFill>
      </fill>
    </dxf>
    <dxf>
      <font>
        <b val="1"/>
        <color rgb="007A5B00"/>
      </font>
      <fill>
        <patternFill patternType="solid">
          <fgColor rgb="00FFF9C4"/>
        </patternFill>
      </fill>
    </dxf>
    <dxf>
      <font>
        <b val="1"/>
        <color rgb="00B71C1C"/>
      </font>
      <fill>
        <patternFill patternType="solid">
          <fgColor rgb="00EF9A9A"/>
        </patternFill>
      </fill>
    </dxf>
    <dxf>
      <font>
        <b val="1"/>
        <color rgb="007A4B00"/>
      </font>
      <fill>
        <patternFill patternType="solid">
          <fgColor rgb="00FFCC80"/>
        </patternFill>
      </fill>
    </dxf>
    <dxf>
      <font>
        <b val="1"/>
        <color rgb="00A6285A"/>
      </font>
      <fill>
        <patternFill patternType="solid">
          <fgColor rgb="00F8BBD0"/>
        </patternFill>
      </fill>
    </dxf>
    <dxf>
      <font>
        <b val="1"/>
        <color rgb="00B71C1C"/>
      </font>
    </dxf>
    <dxf>
      <font>
        <b val="1"/>
        <color rgb="007A2E00"/>
      </font>
      <fill>
        <patternFill patternType="solid">
          <fgColor rgb="00FFAB91"/>
        </patternFill>
      </fill>
    </dxf>
    <dxf>
      <font>
        <color rgb="007A5B00"/>
      </font>
      <fill>
        <patternFill patternType="solid">
          <fgColor rgb="00FFE082"/>
        </patternFill>
      </fill>
    </dxf>
    <dxf>
      <font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Speso per categoria (gruppo)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solidFill>
              <a:srgbClr val="D94F79"/>
            </a:solidFill>
            <a:ln>
              <a:prstDash val="solid"/>
            </a:ln>
          </spPr>
          <cat>
            <numRef>
              <f>'BUDGET'!$A$5:$A$15</f>
            </numRef>
          </cat>
          <val>
            <numRef>
              <f>'BUDGET'!$B$5:$B$15</f>
            </numRef>
          </val>
        </ser>
        <ser>
          <idx val="1"/>
          <order val="1"/>
          <tx>
            <strRef>
              <f>'BUDGET'!D4</f>
            </strRef>
          </tx>
          <spPr>
            <a:solidFill>
              <a:srgbClr val="F6A5C0"/>
            </a:solidFill>
            <a:ln>
              <a:prstDash val="solid"/>
            </a:ln>
          </spPr>
          <cat>
            <numRef>
              <f>'BUDGET'!$A$5:$A$15</f>
            </numRef>
          </cat>
          <val>
            <numRef>
              <f>'BUDGET'!$D$5:$D$15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Distribuzione spesa per categoria</a:t>
            </a:r>
          </a:p>
        </rich>
      </tx>
    </title>
    <plotArea>
      <doughnutChart>
        <varyColors val="1"/>
        <ser>
          <idx val="0"/>
          <order val="0"/>
          <tx>
            <strRef>
              <f>'BUDGET'!D4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94F79"/>
              </a:solidFill>
              <a:ln>
                <a:prstDash val="solid"/>
              </a:ln>
            </spPr>
          </dPt>
          <dPt>
            <idx val="1"/>
            <spPr>
              <a:solidFill>
                <a:srgbClr val="EC6A8B"/>
              </a:solidFill>
              <a:ln>
                <a:prstDash val="solid"/>
              </a:ln>
            </spPr>
          </dPt>
          <dPt>
            <idx val="2"/>
            <spPr>
              <a:solidFill>
                <a:srgbClr val="F6A5C0"/>
              </a:solidFill>
              <a:ln>
                <a:prstDash val="solid"/>
              </a:ln>
            </spPr>
          </dPt>
          <dPt>
            <idx val="3"/>
            <spPr>
              <a:solidFill>
                <a:srgbClr val="F8BBD0"/>
              </a:solidFill>
              <a:ln>
                <a:prstDash val="solid"/>
              </a:ln>
            </spPr>
          </dPt>
          <dPt>
            <idx val="4"/>
            <spPr>
              <a:solidFill>
                <a:srgbClr val="C9A227"/>
              </a:solidFill>
              <a:ln>
                <a:prstDash val="solid"/>
              </a:ln>
            </spPr>
          </dPt>
          <dPt>
            <idx val="5"/>
            <spPr>
              <a:solidFill>
                <a:srgbClr val="7BA05B"/>
              </a:solidFill>
              <a:ln>
                <a:prstDash val="solid"/>
              </a:ln>
            </spPr>
          </dPt>
          <dPt>
            <idx val="6"/>
            <spPr>
              <a:solidFill>
                <a:srgbClr val="B39DDB"/>
              </a:solidFill>
              <a:ln>
                <a:prstDash val="solid"/>
              </a:ln>
            </spPr>
          </dPt>
          <dPt>
            <idx val="7"/>
            <spPr>
              <a:solidFill>
                <a:srgbClr val="80CBC4"/>
              </a:solidFill>
              <a:ln>
                <a:prstDash val="solid"/>
              </a:ln>
            </spPr>
          </dPt>
          <dPt>
            <idx val="8"/>
            <spPr>
              <a:solidFill>
                <a:srgbClr val="FFAB91"/>
              </a:solidFill>
              <a:ln>
                <a:prstDash val="solid"/>
              </a:ln>
            </spPr>
          </dPt>
          <dPt>
            <idx val="9"/>
            <spPr>
              <a:solidFill>
                <a:srgbClr val="BCAAA4"/>
              </a:solidFill>
              <a:ln>
                <a:prstDash val="solid"/>
              </a:ln>
            </spPr>
          </dPt>
          <dPt>
            <idx val="10"/>
            <spPr>
              <a:solidFill>
                <a:srgbClr val="FCE4EC"/>
              </a:solidFill>
              <a:ln>
                <a:prstDash val="solid"/>
              </a:ln>
            </spPr>
          </dPt>
          <cat>
            <numRef>
              <f>'BUDGET'!$A$5:$A$15</f>
            </numRef>
          </cat>
          <val>
            <numRef>
              <f>'BUDGET'!$D$5:$D$15</f>
            </numRef>
          </val>
        </ser>
        <dLbls>
          <showLegendKey val="0"/>
          <showVal val="0"/>
          <showCatName val="0"/>
          <showSerName val="0"/>
          <showPercent val="1"/>
          <showLeaderLines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giornaliero (€/persona)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'ITINERARIO'!J4</f>
            </strRef>
          </tx>
          <spPr>
            <a:solidFill>
              <a:srgbClr val="EC6A8B"/>
            </a:solidFill>
            <a:ln>
              <a:prstDash val="solid"/>
            </a:ln>
          </spPr>
          <cat>
            <numRef>
              <f>'ITINERARIO'!$A$5:$A$19</f>
            </numRef>
          </cat>
          <val>
            <numRef>
              <f>'ITINERARIO'!$J$5:$J$19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Speso per categoria (gruppo)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solidFill>
              <a:srgbClr val="D94F79"/>
            </a:solidFill>
            <a:ln>
              <a:prstDash val="solid"/>
            </a:ln>
          </spPr>
          <cat>
            <numRef>
              <f>'BUDGET'!$A$5:$A$15</f>
            </numRef>
          </cat>
          <val>
            <numRef>
              <f>'BUDGET'!$B$5:$B$15</f>
            </numRef>
          </val>
        </ser>
        <ser>
          <idx val="1"/>
          <order val="1"/>
          <tx>
            <strRef>
              <f>'BUDGET'!D4</f>
            </strRef>
          </tx>
          <spPr>
            <a:solidFill>
              <a:srgbClr val="F6A5C0"/>
            </a:solidFill>
            <a:ln>
              <a:prstDash val="solid"/>
            </a:ln>
          </spPr>
          <cat>
            <numRef>
              <f>'BUDGET'!$A$5:$A$15</f>
            </numRef>
          </cat>
          <val>
            <numRef>
              <f>'BUDGET'!$D$5:$D$15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 (gruppo)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1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648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</row>
      <rowOff>0</rowOff>
    </from>
    <ext cx="15621000" cy="17335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34</row>
      <rowOff>0</rowOff>
    </from>
    <ext cx="161925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D94F79"/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8" customHeight="1">
      <c r="A1" s="1" t="inlineStr">
        <is>
          <t>Giappone 2026 — Companion</t>
        </is>
      </c>
    </row>
    <row r="2" ht="18" customHeight="1">
      <c r="A2" s="2" t="inlineStr">
        <is>
          <t>Dashboard dinamica: si aggiorna da sola da CONFIG, SPESE, PRENOTAZIONI.</t>
        </is>
      </c>
    </row>
    <row r="3" ht="10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0" customHeight="1">
      <c r="A10" s="3" t="inlineStr">
        <is>
          <t>Giorni alla partenza</t>
        </is>
      </c>
      <c r="E10" s="3" t="inlineStr">
        <is>
          <t>Budget gruppo €</t>
        </is>
      </c>
      <c r="I10" s="3" t="inlineStr">
        <is>
          <t>Speso gruppo €</t>
        </is>
      </c>
      <c r="M10" s="3" t="inlineStr">
        <is>
          <t>Residuo €</t>
        </is>
      </c>
    </row>
    <row r="11" ht="30" customHeight="1">
      <c r="A11" s="4">
        <f>IF(TODAY()&lt;DataPartenza,DataPartenza-TODAY(),IF(TODAY()&lt;=DataRitorno,"in viaggio","concluso"))</f>
        <v/>
      </c>
      <c r="E11" s="5">
        <f>Budget_Target_Pax*N_Persone</f>
        <v/>
      </c>
      <c r="I11" s="5">
        <f>SUM(Spese_ImportoTot)</f>
        <v/>
      </c>
      <c r="M11" s="5">
        <f>Budget_Target_Pax*N_Persone-SUM(Spese_ImportoTot)</f>
        <v/>
      </c>
    </row>
    <row r="12" ht="20" customHeight="1">
      <c r="A12" s="6">
        <f>"Prenotazioni: " &amp; (COUNTIF(Pren_Stato,"Pagato")+COUNTIF(Pren_Stato,"Prenotato")) &amp; "/" &amp; COUNTA(Pren_Voce) &amp; "   ·   Attività: " &amp; COUNTIF(Att_Stato,"Fatto") &amp; "/" &amp; COUNTA(Att_Attivita) &amp; " completate   ·   Utilizzo budget: " &amp; TEXT(SUM(Spese_ImportoTot)/(Budget_Target_Pax*N_Persone),"0%")</f>
        <v/>
      </c>
    </row>
    <row r="14" ht="22" customHeight="1">
      <c r="A14" s="7" t="inlineStr">
        <is>
          <t xml:space="preserve">  PROSSIME SCADENZE</t>
        </is>
      </c>
      <c r="H14" s="7" t="inlineStr">
        <is>
          <t xml:space="preserve">  SALDO PER PERSONA</t>
        </is>
      </c>
    </row>
    <row r="15">
      <c r="A15" s="8" t="inlineStr">
        <is>
          <t>Data</t>
        </is>
      </c>
      <c r="B15" s="8" t="inlineStr">
        <is>
          <t>Cosa</t>
        </is>
      </c>
      <c r="E15" s="8" t="inlineStr">
        <is>
          <t>Giorni</t>
        </is>
      </c>
      <c r="F15" s="8" t="inlineStr">
        <is>
          <t>Stato</t>
        </is>
      </c>
      <c r="H15" s="8" t="inlineStr">
        <is>
          <t>Persona</t>
        </is>
      </c>
      <c r="I15" s="8" t="inlineStr">
        <is>
          <t>Anticipato</t>
        </is>
      </c>
      <c r="J15" s="8" t="inlineStr">
        <is>
          <t>Quota</t>
        </is>
      </c>
      <c r="K15" s="8" t="inlineStr">
        <is>
          <t>Saldo</t>
        </is>
      </c>
      <c r="L15" s="8" t="inlineStr">
        <is>
          <t>Stato</t>
        </is>
      </c>
      <c r="M15" s="8" t="inlineStr">
        <is>
          <t>Nota</t>
        </is>
      </c>
    </row>
    <row r="16">
      <c r="A16" s="9">
        <f>IF(SCADENZE!A5="","",SCADENZE!A5)</f>
        <v/>
      </c>
      <c r="B16" s="10">
        <f>IF(SCADENZE!B5="","",SCADENZE!B5)</f>
        <v/>
      </c>
      <c r="C16" s="11" t="n"/>
      <c r="D16" s="11" t="n"/>
      <c r="E16" s="12">
        <f>IF(SCADENZE!E5="","",SCADENZE!E5)</f>
        <v/>
      </c>
      <c r="F16" s="11">
        <f>IF(SCADENZE!F5="","",SCADENZE!F5)</f>
        <v/>
      </c>
      <c r="G16" s="11" t="n"/>
      <c r="H16" s="11">
        <f>SALDI!A5</f>
        <v/>
      </c>
      <c r="I16" s="13">
        <f>SALDI!B5</f>
        <v/>
      </c>
      <c r="J16" s="13">
        <f>SALDI!C5</f>
        <v/>
      </c>
      <c r="K16" s="13">
        <f>SALDI!D5</f>
        <v/>
      </c>
      <c r="L16" s="11">
        <f>SALDI!E5</f>
        <v/>
      </c>
      <c r="M16" s="11">
        <f>IF(SALDI!B5=0,"—","compila 'Pagato da' in SPESE")</f>
        <v/>
      </c>
      <c r="N16" s="11" t="n"/>
      <c r="O16" s="11" t="n"/>
    </row>
    <row r="17">
      <c r="A17" s="9">
        <f>IF(SCADENZE!A6="","",SCADENZE!A6)</f>
        <v/>
      </c>
      <c r="B17" s="10">
        <f>IF(SCADENZE!B6="","",SCADENZE!B6)</f>
        <v/>
      </c>
      <c r="C17" s="11" t="n"/>
      <c r="D17" s="11" t="n"/>
      <c r="E17" s="12">
        <f>IF(SCADENZE!E6="","",SCADENZE!E6)</f>
        <v/>
      </c>
      <c r="F17" s="11">
        <f>IF(SCADENZE!F6="","",SCADENZE!F6)</f>
        <v/>
      </c>
      <c r="G17" s="11" t="n"/>
      <c r="H17" s="11">
        <f>SALDI!A6</f>
        <v/>
      </c>
      <c r="I17" s="13">
        <f>SALDI!B6</f>
        <v/>
      </c>
      <c r="J17" s="13">
        <f>SALDI!C6</f>
        <v/>
      </c>
      <c r="K17" s="13">
        <f>SALDI!D6</f>
        <v/>
      </c>
      <c r="L17" s="11">
        <f>SALDI!E6</f>
        <v/>
      </c>
      <c r="M17" s="11">
        <f>IF(SALDI!B6=0,"—","compila 'Pagato da' in SPESE")</f>
        <v/>
      </c>
      <c r="N17" s="11" t="n"/>
      <c r="O17" s="11" t="n"/>
    </row>
    <row r="18">
      <c r="A18" s="9">
        <f>IF(SCADENZE!A7="","",SCADENZE!A7)</f>
        <v/>
      </c>
      <c r="B18" s="10">
        <f>IF(SCADENZE!B7="","",SCADENZE!B7)</f>
        <v/>
      </c>
      <c r="C18" s="11" t="n"/>
      <c r="D18" s="11" t="n"/>
      <c r="E18" s="12">
        <f>IF(SCADENZE!E7="","",SCADENZE!E7)</f>
        <v/>
      </c>
      <c r="F18" s="11">
        <f>IF(SCADENZE!F7="","",SCADENZE!F7)</f>
        <v/>
      </c>
      <c r="G18" s="11" t="n"/>
      <c r="H18" s="11">
        <f>SALDI!A7</f>
        <v/>
      </c>
      <c r="I18" s="13">
        <f>SALDI!B7</f>
        <v/>
      </c>
      <c r="J18" s="13">
        <f>SALDI!C7</f>
        <v/>
      </c>
      <c r="K18" s="13">
        <f>SALDI!D7</f>
        <v/>
      </c>
      <c r="L18" s="11">
        <f>SALDI!E7</f>
        <v/>
      </c>
      <c r="M18" s="11">
        <f>IF(SALDI!B7=0,"—","compila 'Pagato da' in SPESE")</f>
        <v/>
      </c>
      <c r="N18" s="11" t="n"/>
      <c r="O18" s="11" t="n"/>
    </row>
    <row r="19">
      <c r="A19" s="9">
        <f>IF(SCADENZE!A8="","",SCADENZE!A8)</f>
        <v/>
      </c>
      <c r="B19" s="10">
        <f>IF(SCADENZE!B8="","",SCADENZE!B8)</f>
        <v/>
      </c>
      <c r="C19" s="11" t="n"/>
      <c r="D19" s="11" t="n"/>
      <c r="E19" s="12">
        <f>IF(SCADENZE!E8="","",SCADENZE!E8)</f>
        <v/>
      </c>
      <c r="F19" s="11">
        <f>IF(SCADENZE!F8="","",SCADENZE!F8)</f>
        <v/>
      </c>
      <c r="G19" s="11" t="n"/>
    </row>
    <row r="20">
      <c r="A20" s="9">
        <f>IF(SCADENZE!A9="","",SCADENZE!A9)</f>
        <v/>
      </c>
      <c r="B20" s="10">
        <f>IF(SCADENZE!B9="","",SCADENZE!B9)</f>
        <v/>
      </c>
      <c r="C20" s="11" t="n"/>
      <c r="D20" s="11" t="n"/>
      <c r="E20" s="12">
        <f>IF(SCADENZE!E9="","",SCADENZE!E9)</f>
        <v/>
      </c>
      <c r="F20" s="11">
        <f>IF(SCADENZE!F9="","",SCADENZE!F9)</f>
        <v/>
      </c>
      <c r="G20" s="11" t="n"/>
    </row>
    <row r="21">
      <c r="A21" s="9">
        <f>IF(SCADENZE!A10="","",SCADENZE!A10)</f>
        <v/>
      </c>
      <c r="B21" s="10">
        <f>IF(SCADENZE!B10="","",SCADENZE!B10)</f>
        <v/>
      </c>
      <c r="C21" s="11" t="n"/>
      <c r="D21" s="11" t="n"/>
      <c r="E21" s="12">
        <f>IF(SCADENZE!E10="","",SCADENZE!E10)</f>
        <v/>
      </c>
      <c r="F21" s="11">
        <f>IF(SCADENZE!F10="","",SCADENZE!F10)</f>
        <v/>
      </c>
      <c r="G21" s="11" t="n"/>
    </row>
    <row r="22">
      <c r="A22" s="9">
        <f>IF(SCADENZE!A11="","",SCADENZE!A11)</f>
        <v/>
      </c>
      <c r="B22" s="10">
        <f>IF(SCADENZE!B11="","",SCADENZE!B11)</f>
        <v/>
      </c>
      <c r="C22" s="11" t="n"/>
      <c r="D22" s="11" t="n"/>
      <c r="E22" s="12">
        <f>IF(SCADENZE!E11="","",SCADENZE!E11)</f>
        <v/>
      </c>
      <c r="F22" s="11">
        <f>IF(SCADENZE!F11="","",SCADENZE!F11)</f>
        <v/>
      </c>
      <c r="G22" s="11" t="n"/>
    </row>
    <row r="23">
      <c r="A23" s="9">
        <f>IF(SCADENZE!A12="","",SCADENZE!A12)</f>
        <v/>
      </c>
      <c r="B23" s="10">
        <f>IF(SCADENZE!B12="","",SCADENZE!B12)</f>
        <v/>
      </c>
      <c r="C23" s="11" t="n"/>
      <c r="D23" s="11" t="n"/>
      <c r="E23" s="12">
        <f>IF(SCADENZE!E12="","",SCADENZE!E12)</f>
        <v/>
      </c>
      <c r="F23" s="11">
        <f>IF(SCADENZE!F12="","",SCADENZE!F12)</f>
        <v/>
      </c>
      <c r="G23" s="11" t="n"/>
    </row>
    <row r="25" ht="22" customHeight="1">
      <c r="A25" s="7" t="inlineStr">
        <is>
          <t xml:space="preserve">  GRAFICI</t>
        </is>
      </c>
    </row>
    <row r="45">
      <c r="I45" s="14" t="inlineStr">
        <is>
          <t>Legenda stati
• Da fare / Da pianificare → giallo
• Prenotato → azzurro
• Pagato / Fatto → verde
• Annullato / Scaduta → rosso
• Opzionale → grigio</t>
        </is>
      </c>
    </row>
  </sheetData>
  <mergeCells count="36">
    <mergeCell ref="M11:O11"/>
    <mergeCell ref="E10:G10"/>
    <mergeCell ref="A14:G14"/>
    <mergeCell ref="A25:O25"/>
    <mergeCell ref="M10:O10"/>
    <mergeCell ref="F16:G16"/>
    <mergeCell ref="B23:D23"/>
    <mergeCell ref="F19:G19"/>
    <mergeCell ref="B17:D17"/>
    <mergeCell ref="M16:O16"/>
    <mergeCell ref="M15:O15"/>
    <mergeCell ref="A12:O12"/>
    <mergeCell ref="F21:G21"/>
    <mergeCell ref="B19:D19"/>
    <mergeCell ref="A2:O2"/>
    <mergeCell ref="E11:G11"/>
    <mergeCell ref="F15:G15"/>
    <mergeCell ref="M18:O18"/>
    <mergeCell ref="F20:G20"/>
    <mergeCell ref="F18:G18"/>
    <mergeCell ref="M17:O17"/>
    <mergeCell ref="B15:D15"/>
    <mergeCell ref="F17:G17"/>
    <mergeCell ref="B20:D20"/>
    <mergeCell ref="A10:C10"/>
    <mergeCell ref="I10:K10"/>
    <mergeCell ref="F23:G23"/>
    <mergeCell ref="F22:G22"/>
    <mergeCell ref="B16:D16"/>
    <mergeCell ref="I11:K11"/>
    <mergeCell ref="A11:C11"/>
    <mergeCell ref="B22:D22"/>
    <mergeCell ref="A1:O1"/>
    <mergeCell ref="B18:D18"/>
    <mergeCell ref="B21:D21"/>
    <mergeCell ref="H14:O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94F79"/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8" customWidth="1" min="4" max="4"/>
    <col width="34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52" customWidth="1" min="11" max="11"/>
    <col width="13" customWidth="1" min="12" max="12"/>
    <col width="40" customWidth="1" min="13" max="13"/>
  </cols>
  <sheetData>
    <row r="1" ht="38" customHeight="1">
      <c r="A1" s="1" t="inlineStr">
        <is>
          <t>ITINERARIO — Giappone 2026</t>
        </is>
      </c>
    </row>
    <row r="2" ht="18" customHeight="1">
      <c r="A2" s="2" t="inlineStr">
        <is>
          <t>15 giorni · 23 ott – 7 nov 2026 · Roma → KIX → Izumisano → Osaka → Hiroshima → Nara → Kyoto → Tokyo. Budget per persona.</t>
        </is>
      </c>
    </row>
    <row r="4" ht="30" customHeight="1">
      <c r="A4" s="8" t="inlineStr">
        <is>
          <t>Giorno</t>
        </is>
      </c>
      <c r="B4" s="8" t="inlineStr">
        <is>
          <t>Data</t>
        </is>
      </c>
      <c r="C4" s="8" t="inlineStr">
        <is>
          <t>Giorno sett.</t>
        </is>
      </c>
      <c r="D4" s="8" t="inlineStr">
        <is>
          <t>Base/Città</t>
        </is>
      </c>
      <c r="E4" s="8" t="inlineStr">
        <is>
          <t>Titolo</t>
        </is>
      </c>
      <c r="F4" s="8" t="inlineStr">
        <is>
          <t>Difficoltà</t>
        </is>
      </c>
      <c r="G4" s="8" t="inlineStr">
        <is>
          <t>Cibo €</t>
        </is>
      </c>
      <c r="H4" s="8" t="inlineStr">
        <is>
          <t>Trasporti €</t>
        </is>
      </c>
      <c r="I4" s="8" t="inlineStr">
        <is>
          <t>Ingressi €</t>
        </is>
      </c>
      <c r="J4" s="8" t="inlineStr">
        <is>
          <t>Totale €</t>
        </is>
      </c>
      <c r="K4" s="8" t="inlineStr">
        <is>
          <t>Attività principali</t>
        </is>
      </c>
      <c r="L4" s="8" t="inlineStr">
        <is>
          <t>Fatte</t>
        </is>
      </c>
      <c r="M4" s="8" t="inlineStr">
        <is>
          <t>Note / Piano B</t>
        </is>
      </c>
    </row>
    <row r="5" ht="42" customHeight="1">
      <c r="A5" s="11" t="n">
        <v>1</v>
      </c>
      <c r="B5" s="9" t="n">
        <v>46318</v>
      </c>
      <c r="C5" s="11">
        <f>CHOOSE(WEEKDAY(B5,2),"Lun","Mar","Mer","Gio","Ven","Sab","Dom")</f>
        <v/>
      </c>
      <c r="D5" s="10" t="inlineStr">
        <is>
          <t>Roma → KIX</t>
        </is>
      </c>
      <c r="E5" s="10" t="inlineStr">
        <is>
          <t>Partenza &amp; Arrivo KIX (Izumisano)</t>
        </is>
      </c>
      <c r="F5" s="11" t="n">
        <v>1</v>
      </c>
      <c r="G5" s="13" t="n">
        <v>15</v>
      </c>
      <c r="H5" s="13" t="n">
        <v>10</v>
      </c>
      <c r="I5" s="13" t="n">
        <v>0</v>
      </c>
      <c r="J5" s="13">
        <f>SUM(G5:I5)</f>
        <v/>
      </c>
      <c r="K5" s="10" t="inlineStr">
        <is>
          <t>Volo MU788 (FCO→PVG) + FM3051 (PVG→KIX) · arrivo 21:00 · Nankai → Izumisano · KURA Hotel</t>
        </is>
      </c>
      <c r="L5" s="11">
        <f>IF(COUNTIF(Att_Giorno,A5)=0,"—",COUNTIFS(Att_Giorno,A5,Att_Stato,"Fatto")&amp;"/"&amp;COUNTIF(Att_Giorno,A5))</f>
        <v/>
      </c>
      <c r="M5" s="10" t="inlineStr">
        <is>
          <t>Volo notturno, scalo Shanghai 2h45 · pasto speciale Rebecca</t>
        </is>
      </c>
    </row>
    <row r="6" ht="42" customHeight="1">
      <c r="A6" s="11" t="n">
        <v>2</v>
      </c>
      <c r="B6" s="9" t="n">
        <v>46320</v>
      </c>
      <c r="C6" s="11">
        <f>CHOOSE(WEEKDAY(B6,2),"Lun","Mar","Mer","Gio","Ven","Sab","Dom")</f>
        <v/>
      </c>
      <c r="D6" s="10" t="inlineStr">
        <is>
          <t>Osaka</t>
        </is>
      </c>
      <c r="E6" s="10" t="inlineStr">
        <is>
          <t>Trasferimento a Osaka · Shinsaibashi &amp; Dotonbori</t>
        </is>
      </c>
      <c r="F6" s="11" t="n">
        <v>2</v>
      </c>
      <c r="G6" s="13" t="n">
        <v>25</v>
      </c>
      <c r="H6" s="13" t="n">
        <v>14</v>
      </c>
      <c r="I6" s="13" t="n">
        <v>0</v>
      </c>
      <c r="J6" s="13">
        <f>SUM(G6:I6)</f>
        <v/>
      </c>
      <c r="K6" s="10" t="inlineStr">
        <is>
          <t>Nankai Izumisano→Namba · Shinsaibashi shopping · Tempio Hozen-ji · Dotonbori illuminato</t>
        </is>
      </c>
      <c r="L6" s="11">
        <f>IF(COUNTIF(Att_Giorno,A6)=0,"—",COUNTIFS(Att_Giorno,A6,Att_Stato,"Fatto")&amp;"/"&amp;COUNTIF(Att_Giorno,A6))</f>
        <v/>
      </c>
      <c r="M6" s="10" t="inlineStr">
        <is>
          <t>Piano B pioggia: Namba Walk coperto</t>
        </is>
      </c>
    </row>
    <row r="7" ht="42" customHeight="1">
      <c r="A7" s="11" t="n">
        <v>3</v>
      </c>
      <c r="B7" s="9" t="n">
        <v>46321</v>
      </c>
      <c r="C7" s="11">
        <f>CHOOSE(WEEKDAY(B7,2),"Lun","Mar","Mer","Gio","Ven","Sab","Dom")</f>
        <v/>
      </c>
      <c r="D7" s="10" t="inlineStr">
        <is>
          <t>Osaka</t>
        </is>
      </c>
      <c r="E7" s="10" t="inlineStr">
        <is>
          <t>Osaka: Cultura &amp; Quartieri</t>
        </is>
      </c>
      <c r="F7" s="11" t="n">
        <v>3</v>
      </c>
      <c r="G7" s="13" t="n">
        <v>30</v>
      </c>
      <c r="H7" s="13" t="n">
        <v>8</v>
      </c>
      <c r="I7" s="13" t="n">
        <v>8</v>
      </c>
      <c r="J7" s="13">
        <f>SUM(G7:I7)</f>
        <v/>
      </c>
      <c r="K7" s="10" t="inlineStr">
        <is>
          <t>Castello di Osaka · Shitenno-ji · Shinsekai · Tsutenkaku (opz.) · Nipponbashi Den Den Town ⭐Lorenzo</t>
        </is>
      </c>
      <c r="L7" s="11">
        <f>IF(COUNTIF(Att_Giorno,A7)=0,"—",COUNTIFS(Att_Giorno,A7,Att_Stato,"Fatto")&amp;"/"&amp;COUNTIF(Att_Giorno,A7))</f>
        <v/>
      </c>
      <c r="M7" s="10" t="inlineStr">
        <is>
          <t>Umeda rimosso: giornata tranquilla in zona Minami</t>
        </is>
      </c>
    </row>
    <row r="8" ht="42" customHeight="1">
      <c r="A8" s="11" t="n">
        <v>4</v>
      </c>
      <c r="B8" s="9" t="n">
        <v>46322</v>
      </c>
      <c r="C8" s="11">
        <f>CHOOSE(WEEKDAY(B8,2),"Lun","Mar","Mer","Gio","Ven","Sab","Dom")</f>
        <v/>
      </c>
      <c r="D8" s="10" t="inlineStr">
        <is>
          <t>Osaka</t>
        </is>
      </c>
      <c r="E8" s="10" t="inlineStr">
        <is>
          <t>Universal Studios Japan</t>
        </is>
      </c>
      <c r="F8" s="11" t="n">
        <v>4</v>
      </c>
      <c r="G8" s="13" t="n">
        <v>25</v>
      </c>
      <c r="H8" s="13" t="n">
        <v>5</v>
      </c>
      <c r="I8" s="13" t="n">
        <v>88</v>
      </c>
      <c r="J8" s="13">
        <f>SUM(G8:I8)</f>
        <v/>
      </c>
      <c r="K8" s="10" t="inlineStr">
        <is>
          <t>USJ: Super Nintendo World · Harry Potter · Minion/Jurassic · voucher pasto incluso</t>
        </is>
      </c>
      <c r="L8" s="11">
        <f>IF(COUNTIF(Att_Giorno,A8)=0,"—",COUNTIFS(Att_Giorno,A8,Att_Stato,"Fatto")&amp;"/"&amp;COUNTIF(Att_Giorno,A8))</f>
        <v/>
      </c>
      <c r="M8" s="10" t="inlineStr">
        <is>
          <t>Biglietto 88 €/pax (05/09) · portare QR · Rebecca porta cibo da casa</t>
        </is>
      </c>
    </row>
    <row r="9" ht="42" customHeight="1">
      <c r="A9" s="11" t="n">
        <v>5</v>
      </c>
      <c r="B9" s="9" t="n">
        <v>46323</v>
      </c>
      <c r="C9" s="11">
        <f>CHOOSE(WEEKDAY(B9,2),"Lun","Mar","Mer","Gio","Ven","Sab","Dom")</f>
        <v/>
      </c>
      <c r="D9" s="10" t="inlineStr">
        <is>
          <t>Hiroshima + Miyajima</t>
        </is>
      </c>
      <c r="E9" s="10" t="inlineStr">
        <is>
          <t>Hiroshima + Miyajima</t>
        </is>
      </c>
      <c r="F9" s="11" t="n">
        <v>4</v>
      </c>
      <c r="G9" s="13" t="n">
        <v>25</v>
      </c>
      <c r="H9" s="13" t="n">
        <v>0</v>
      </c>
      <c r="I9" s="13" t="n">
        <v>5</v>
      </c>
      <c r="J9" s="13">
        <f>SUM(G9:I9)</f>
        <v/>
      </c>
      <c r="K9" s="10" t="inlineStr">
        <is>
          <t>Attivazione JR Pass · Shinkansen Sakura → Hiroshima · traghetto Miyajima · Itsukushima · Museo della Pace</t>
        </is>
      </c>
      <c r="L9" s="11">
        <f>IF(COUNTIF(Att_Giorno,A9)=0,"—",COUNTIFS(Att_Giorno,A9,Att_Stato,"Fatto")&amp;"/"&amp;COUNTIF(Att_Giorno,A9))</f>
        <v/>
      </c>
      <c r="M9" s="10" t="inlineStr">
        <is>
          <t>Sveglia 05:15 · attivare JR Kansai-Hiroshima (28/09!) · maree Miyajima</t>
        </is>
      </c>
    </row>
    <row r="10" ht="42" customHeight="1">
      <c r="A10" s="11" t="n">
        <v>6</v>
      </c>
      <c r="B10" s="9" t="n">
        <v>46324</v>
      </c>
      <c r="C10" s="11">
        <f>CHOOSE(WEEKDAY(B10,2),"Lun","Mar","Mer","Gio","Ven","Sab","Dom")</f>
        <v/>
      </c>
      <c r="D10" s="10" t="inlineStr">
        <is>
          <t>Nara → Kyoto</t>
        </is>
      </c>
      <c r="E10" s="10" t="inlineStr">
        <is>
          <t>Nara + Arrivo Kyoto</t>
        </is>
      </c>
      <c r="F10" s="11" t="n">
        <v>3</v>
      </c>
      <c r="G10" s="13" t="n">
        <v>30</v>
      </c>
      <c r="H10" s="13" t="n">
        <v>7</v>
      </c>
      <c r="I10" s="13" t="n">
        <v>10</v>
      </c>
      <c r="J10" s="13">
        <f>SUM(G10:I10)</f>
        <v/>
      </c>
      <c r="K10" s="10" t="inlineStr">
        <is>
          <t>Check-out Osaka · Takkyubin valigie → Tokyo · Kintetsu Nara · Todaiji · Fushimi Inari sera</t>
        </is>
      </c>
      <c r="L10" s="11">
        <f>IF(COUNTIF(Att_Giorno,A10)=0,"—",COUNTIFS(Att_Giorno,A10,Att_Stato,"Fatto")&amp;"/"&amp;COUNTIF(Att_Giorno,A10))</f>
        <v/>
      </c>
      <c r="M10" s="10" t="inlineStr">
        <is>
          <t>Bagagli spediti (consegna 1 nov) · solo bagaglio a mano</t>
        </is>
      </c>
    </row>
    <row r="11" ht="42" customHeight="1">
      <c r="A11" s="11" t="n">
        <v>7</v>
      </c>
      <c r="B11" s="9" t="n">
        <v>46325</v>
      </c>
      <c r="C11" s="11">
        <f>CHOOSE(WEEKDAY(B11,2),"Lun","Mar","Mer","Gio","Ven","Sab","Dom")</f>
        <v/>
      </c>
      <c r="D11" s="10" t="inlineStr">
        <is>
          <t>Kyoto</t>
        </is>
      </c>
      <c r="E11" s="10" t="inlineStr">
        <is>
          <t>Kyoto: Higashiyama &amp; Gion</t>
        </is>
      </c>
      <c r="F11" s="11" t="n">
        <v>4</v>
      </c>
      <c r="G11" s="13" t="n">
        <v>30</v>
      </c>
      <c r="H11" s="13" t="n">
        <v>8</v>
      </c>
      <c r="I11" s="13" t="n">
        <v>6</v>
      </c>
      <c r="J11" s="13">
        <f>SUM(G11:I11)</f>
        <v/>
      </c>
      <c r="K11" s="10" t="inlineStr">
        <is>
          <t>Sannenzaka/Ninenzaka · Kodai-ji · Yasaka · Gion · Kiyomizu-dera al tramonto ~17:15</t>
        </is>
      </c>
      <c r="L11" s="11">
        <f>IF(COUNTIF(Att_Giorno,A11)=0,"—",COUNTIFS(Att_Giorno,A11,Att_Stato,"Fatto")&amp;"/"&amp;COUNTIF(Att_Giorno,A11))</f>
        <v/>
      </c>
      <c r="M11" s="10" t="inlineStr">
        <is>
          <t>Ultimo ingresso Kiyomizu ~17:30</t>
        </is>
      </c>
    </row>
    <row r="12" ht="42" customHeight="1">
      <c r="A12" s="11" t="n">
        <v>8</v>
      </c>
      <c r="B12" s="9" t="n">
        <v>46326</v>
      </c>
      <c r="C12" s="11">
        <f>CHOOSE(WEEKDAY(B12,2),"Lun","Mar","Mer","Gio","Ven","Sab","Dom")</f>
        <v/>
      </c>
      <c r="D12" s="10" t="inlineStr">
        <is>
          <t>Kyoto</t>
        </is>
      </c>
      <c r="E12" s="10" t="inlineStr">
        <is>
          <t>Kyoto: Templi del Nord + Uzumasa + Halloween</t>
        </is>
      </c>
      <c r="F12" s="11" t="n">
        <v>3</v>
      </c>
      <c r="G12" s="13" t="n">
        <v>30</v>
      </c>
      <c r="H12" s="13" t="n">
        <v>8</v>
      </c>
      <c r="I12" s="13" t="n">
        <v>20</v>
      </c>
      <c r="J12" s="13">
        <f>SUM(G12:I12)</f>
        <v/>
      </c>
      <c r="K12" s="10" t="inlineStr">
        <is>
          <t>Kinkaku-ji · Ryoan-ji · Uzumasa Kyoto Village (EVA, ultimo ingresso 17:15) · Halloween a Gion</t>
        </is>
      </c>
      <c r="L12" s="11">
        <f>IF(COUNTIF(Att_Giorno,A12)=0,"—",COUNTIFS(Att_Giorno,A12,Att_Stato,"Fatto")&amp;"/"&amp;COUNTIF(Att_Giorno,A12))</f>
        <v/>
      </c>
      <c r="M12" s="10" t="inlineStr">
        <is>
          <t>Uzumasa ¥2.800 · alternativa EN Tea Ceremony</t>
        </is>
      </c>
    </row>
    <row r="13" ht="42" customHeight="1">
      <c r="A13" s="11" t="n">
        <v>9</v>
      </c>
      <c r="B13" s="9" t="n">
        <v>46327</v>
      </c>
      <c r="C13" s="11">
        <f>CHOOSE(WEEKDAY(B13,2),"Lun","Mar","Mer","Gio","Ven","Sab","Dom")</f>
        <v/>
      </c>
      <c r="D13" s="10" t="inlineStr">
        <is>
          <t>Kyoto → Tokyo</t>
        </is>
      </c>
      <c r="E13" s="10" t="inlineStr">
        <is>
          <t>Kyoto→Tokyo via Shinkansen</t>
        </is>
      </c>
      <c r="F13" s="11" t="n">
        <v>2</v>
      </c>
      <c r="G13" s="13" t="n">
        <v>25</v>
      </c>
      <c r="H13" s="13" t="n">
        <v>86</v>
      </c>
      <c r="I13" s="13" t="n">
        <v>13</v>
      </c>
      <c r="J13" s="13">
        <f>SUM(G13:I13)</f>
        <v/>
      </c>
      <c r="K13" s="10" t="inlineStr">
        <is>
          <t>Shinkansen Hikari (¥13.650) · arrivo Tokyo · Skytree al tramonto · Solamachi</t>
        </is>
      </c>
      <c r="L13" s="11">
        <f>IF(COUNTIF(Att_Giorno,A13)=0,"—",COUNTIFS(Att_Giorno,A13,Att_Stato,"Fatto")&amp;"/"&amp;COUNTIF(Att_Giorno,A13))</f>
        <v/>
      </c>
      <c r="M13" s="10" t="inlineStr">
        <is>
          <t>Prenotare posto riservato dal 1 ott (SmartEX)</t>
        </is>
      </c>
    </row>
    <row r="14" ht="42" customHeight="1">
      <c r="A14" s="11" t="n">
        <v>10</v>
      </c>
      <c r="B14" s="9" t="n">
        <v>46328</v>
      </c>
      <c r="C14" s="11">
        <f>CHOOSE(WEEKDAY(B14,2),"Lun","Mar","Mer","Gio","Ven","Sab","Dom")</f>
        <v/>
      </c>
      <c r="D14" s="10" t="inlineStr">
        <is>
          <t>Tokyo</t>
        </is>
      </c>
      <c r="E14" s="10" t="inlineStr">
        <is>
          <t>Tokyo: Asakusa → Akihabara</t>
        </is>
      </c>
      <c r="F14" s="11" t="n">
        <v>4</v>
      </c>
      <c r="G14" s="13" t="n">
        <v>30</v>
      </c>
      <c r="H14" s="13" t="n">
        <v>10</v>
      </c>
      <c r="I14" s="13" t="n">
        <v>0</v>
      </c>
      <c r="J14" s="13">
        <f>SUM(G14:I14)</f>
        <v/>
      </c>
      <c r="K14" s="10" t="inlineStr">
        <is>
          <t>Senso-ji mattina · Nakamise · Akihabara pieno (arcade, Super Potato, Mandarake) · Ameyoko</t>
        </is>
      </c>
      <c r="L14" s="11">
        <f>IF(COUNTIF(Att_Giorno,A14)=0,"—",COUNTIFS(Att_Giorno,A14,Att_Stato,"Fatto")&amp;"/"&amp;COUNTIF(Att_Giorno,A14))</f>
        <v/>
      </c>
      <c r="M14" s="10" t="inlineStr">
        <is>
          <t>Giorni coperti: pioggia ok</t>
        </is>
      </c>
    </row>
    <row r="15" ht="42" customHeight="1">
      <c r="A15" s="11" t="n">
        <v>11</v>
      </c>
      <c r="B15" s="9" t="n">
        <v>46329</v>
      </c>
      <c r="C15" s="11">
        <f>CHOOSE(WEEKDAY(B15,2),"Lun","Mar","Mer","Gio","Ven","Sab","Dom")</f>
        <v/>
      </c>
      <c r="D15" s="10" t="inlineStr">
        <is>
          <t>Tokyo</t>
        </is>
      </c>
      <c r="E15" s="10" t="inlineStr">
        <is>
          <t>Sanrio Puroland + Ikebukuro</t>
        </is>
      </c>
      <c r="F15" s="11" t="n">
        <v>3</v>
      </c>
      <c r="G15" s="13" t="n">
        <v>35</v>
      </c>
      <c r="H15" s="13" t="n">
        <v>12</v>
      </c>
      <c r="I15" s="13" t="n">
        <v>25</v>
      </c>
      <c r="J15" s="13">
        <f>SUM(G15:I15)</f>
        <v/>
      </c>
      <c r="K15" s="10" t="inlineStr">
        <is>
          <t>Sanrio Puroland (Day Passport, indoor) · Sunshine City / Pokémon Center MEGA · Animate Ikebukuro</t>
        </is>
      </c>
      <c r="L15" s="11">
        <f>IF(COUNTIF(Att_Giorno,A15)=0,"—",COUNTIFS(Att_Giorno,A15,Att_Stato,"Fatto")&amp;"/"&amp;COUNTIF(Att_Giorno,A15))</f>
        <v/>
      </c>
      <c r="M15" s="10" t="inlineStr">
        <is>
          <t>Sanrio ✅ 09/09 (~19,97 €) · 3 nov = Bunka no Hi</t>
        </is>
      </c>
    </row>
    <row r="16" ht="42" customHeight="1">
      <c r="A16" s="11" t="n">
        <v>12</v>
      </c>
      <c r="B16" s="9" t="n">
        <v>46330</v>
      </c>
      <c r="C16" s="11">
        <f>CHOOSE(WEEKDAY(B16,2),"Lun","Mar","Mer","Gio","Ven","Sab","Dom")</f>
        <v/>
      </c>
      <c r="D16" s="10" t="inlineStr">
        <is>
          <t>Tokyo</t>
        </is>
      </c>
      <c r="E16" s="10" t="inlineStr">
        <is>
          <t>Tokyo: Meiji → Nakano → Shinjuku → Shibuya</t>
        </is>
      </c>
      <c r="F16" s="11" t="n">
        <v>3</v>
      </c>
      <c r="G16" s="13" t="n">
        <v>35</v>
      </c>
      <c r="H16" s="13" t="n">
        <v>10</v>
      </c>
      <c r="I16" s="13" t="n">
        <v>18</v>
      </c>
      <c r="J16" s="13">
        <f>SUM(G16:I16)</f>
        <v/>
      </c>
      <c r="K16" s="10" t="inlineStr">
        <is>
          <t>Meiji · Harajuku · Nakano Broadway ⭐Lorenzo · Shinjuku · Shibuya Crossing · Shibuya Sky (opz.)</t>
        </is>
      </c>
      <c r="L16" s="11">
        <f>IF(COUNTIF(Att_Giorno,A16)=0,"—",COUNTIFS(Att_Giorno,A16,Att_Stato,"Fatto")&amp;"/"&amp;COUNTIF(Att_Giorno,A16))</f>
        <v/>
      </c>
      <c r="M16" s="10" t="inlineStr">
        <is>
          <t>Shibuya Sky ¥3.400 tramonto · prenotare 21/10</t>
        </is>
      </c>
    </row>
    <row r="17" ht="42" customHeight="1">
      <c r="A17" s="11" t="n">
        <v>13</v>
      </c>
      <c r="B17" s="9" t="n">
        <v>46331</v>
      </c>
      <c r="C17" s="11">
        <f>CHOOSE(WEEKDAY(B17,2),"Lun","Mar","Mer","Gio","Ven","Sab","Dom")</f>
        <v/>
      </c>
      <c r="D17" s="10" t="inlineStr">
        <is>
          <t>Tokyo</t>
        </is>
      </c>
      <c r="E17" s="10" t="inlineStr">
        <is>
          <t>Anniversario D&amp;R · Lorenzo: nerd &amp; Tokyo Tower</t>
        </is>
      </c>
      <c r="F17" s="11" t="n">
        <v>2</v>
      </c>
      <c r="G17" s="13" t="n">
        <v>35</v>
      </c>
      <c r="H17" s="13" t="n">
        <v>12</v>
      </c>
      <c r="I17" s="13" t="n">
        <v>8</v>
      </c>
      <c r="J17" s="13">
        <f>SUM(G17:I17)</f>
        <v/>
      </c>
      <c r="K17" s="10" t="inlineStr">
        <is>
          <t>D&amp;R: programma a cura loro · Lorenzo: Akihabara deep dive · Tokyo Tower al tramonto</t>
        </is>
      </c>
      <c r="L17" s="11">
        <f>IF(COUNTIF(Att_Giorno,A17)=0,"—",COUNTIFS(Att_Giorno,A17,Att_Stato,"Fatto")&amp;"/"&amp;COUNTIF(Att_Giorno,A17))</f>
        <v/>
      </c>
      <c r="M17" s="10" t="inlineStr">
        <is>
          <t>Punto fisso: bagagli pronti entro 20:30</t>
        </is>
      </c>
    </row>
    <row r="18" ht="42" customHeight="1">
      <c r="A18" s="11" t="n">
        <v>14</v>
      </c>
      <c r="B18" s="9" t="n">
        <v>46332</v>
      </c>
      <c r="C18" s="11">
        <f>CHOOSE(WEEKDAY(B18,2),"Lun","Mar","Mer","Gio","Ven","Sab","Dom")</f>
        <v/>
      </c>
      <c r="D18" s="10" t="inlineStr">
        <is>
          <t>Tokyo → Roma</t>
        </is>
      </c>
      <c r="E18" s="10" t="inlineStr">
        <is>
          <t>Partenza da Tokyo (volo 08:40)</t>
        </is>
      </c>
      <c r="F18" s="11" t="n">
        <v>1</v>
      </c>
      <c r="G18" s="13" t="n">
        <v>35</v>
      </c>
      <c r="H18" s="13" t="n">
        <v>5</v>
      </c>
      <c r="I18" s="13" t="n">
        <v>5</v>
      </c>
      <c r="J18" s="13">
        <f>SUM(G18:I18)</f>
        <v/>
      </c>
      <c r="K18" s="10" t="inlineStr">
        <is>
          <t>Sveglia 04:30 · Keikyu Asakusa→HND · MU576 (HND→PVG) + MU787 (PVG→FCO) · arrivo 18:15</t>
        </is>
      </c>
      <c r="L18" s="11">
        <f>IF(COUNTIF(Att_Giorno,A18)=0,"—",COUNTIFS(Att_Giorno,A18,Att_Stato,"Fatto")&amp;"/"&amp;COUNTIF(Att_Giorno,A18))</f>
        <v/>
      </c>
      <c r="M18" s="10" t="inlineStr">
        <is>
          <t>Pasto speciale Rebecca su entrambi i segmenti</t>
        </is>
      </c>
    </row>
    <row r="19" ht="42" customHeight="1">
      <c r="A19" s="11" t="n">
        <v>15</v>
      </c>
      <c r="B19" s="9" t="n">
        <v>46333</v>
      </c>
      <c r="C19" s="11">
        <f>CHOOSE(WEEKDAY(B19,2),"Lun","Mar","Mer","Gio","Ven","Sab","Dom")</f>
        <v/>
      </c>
      <c r="D19" s="10" t="inlineStr">
        <is>
          <t>Roma</t>
        </is>
      </c>
      <c r="E19" s="10" t="inlineStr">
        <is>
          <t>Rientro</t>
        </is>
      </c>
      <c r="F19" s="11" t="n">
        <v>1</v>
      </c>
      <c r="G19" s="13" t="n">
        <v>15</v>
      </c>
      <c r="H19" s="13" t="n">
        <v>15</v>
      </c>
      <c r="I19" s="13" t="n">
        <v>0</v>
      </c>
      <c r="J19" s="13">
        <f>SUM(G19:I19)</f>
        <v/>
      </c>
      <c r="K19" s="10" t="inlineStr">
        <is>
          <t>Giorno di recupero a casa — nessuna attivita' pianificata</t>
        </is>
      </c>
      <c r="L19" s="11">
        <f>IF(COUNTIF(Att_Giorno,A19)=0,"—",COUNTIFS(Att_Giorno,A19,Att_Stato,"Fatto")&amp;"/"&amp;COUNTIF(Att_Giorno,A19))</f>
        <v/>
      </c>
      <c r="M19" s="10" t="inlineStr">
        <is>
          <t>Arrivo FCO la sera del 6/11</t>
        </is>
      </c>
    </row>
    <row r="20">
      <c r="A20" s="15" t="inlineStr">
        <is>
          <t>TOT</t>
        </is>
      </c>
      <c r="B20" s="16" t="n"/>
      <c r="C20" s="16" t="n"/>
      <c r="D20" s="15" t="inlineStr">
        <is>
          <t>Totale / persona</t>
        </is>
      </c>
      <c r="E20" s="16" t="n"/>
      <c r="F20" s="16" t="n"/>
      <c r="G20" s="17">
        <f>SUM(G5:G19)</f>
        <v/>
      </c>
      <c r="H20" s="17">
        <f>SUM(H5:H19)</f>
        <v/>
      </c>
      <c r="I20" s="17">
        <f>SUM(I5:I19)</f>
        <v/>
      </c>
      <c r="J20" s="17">
        <f>SUM(J5:J19)</f>
        <v/>
      </c>
      <c r="K20" s="16" t="n"/>
      <c r="L20" s="16" t="n"/>
      <c r="M20" s="16" t="n"/>
    </row>
  </sheetData>
  <mergeCells count="2">
    <mergeCell ref="A2:M2"/>
    <mergeCell ref="A1:M1"/>
  </mergeCells>
  <conditionalFormatting sqref="F5:F19">
    <cfRule type="colorScale" priority="1">
      <colorScale>
        <cfvo type="num" val="1"/>
        <cfvo type="num" val="2.5"/>
        <cfvo type="num" val="4"/>
        <color rgb="00C8E6C9"/>
        <color rgb="00FFE0B2"/>
        <color rgb="00F8BBD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A5C0"/>
    <outlinePr summaryBelow="1" summaryRight="1"/>
    <pageSetUpPr/>
  </sheetPr>
  <dimension ref="A1:K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2" customWidth="1" min="4" max="4"/>
    <col width="14" customWidth="1" min="5" max="5"/>
    <col width="7" customWidth="1" min="6" max="6"/>
    <col width="11" customWidth="1" min="7" max="7"/>
    <col width="11" customWidth="1" min="8" max="8"/>
    <col width="12" customWidth="1" min="9" max="9"/>
    <col width="20" customWidth="1" min="10" max="10"/>
    <col width="34" customWidth="1" min="11" max="11"/>
  </cols>
  <sheetData>
    <row r="1" ht="38" customHeight="1">
      <c r="A1" s="1" t="inlineStr">
        <is>
          <t>ATTIVITÀ — Tracker attività e luoghi</t>
        </is>
      </c>
    </row>
    <row r="2" ht="18" customHeight="1">
      <c r="A2" s="2" t="inlineStr">
        <is>
          <t>Una riga per attività/luogo. Aggiorna 'Stato' dal menu a tendina: le attività completate aumentano la barra in DASHBOARD.</t>
        </is>
      </c>
    </row>
    <row r="4" ht="30" customHeight="1">
      <c r="A4" s="8" t="inlineStr">
        <is>
          <t>Giorno</t>
        </is>
      </c>
      <c r="B4" s="8" t="inlineStr">
        <is>
          <t>Data</t>
        </is>
      </c>
      <c r="C4" s="8" t="inlineStr">
        <is>
          <t>Città</t>
        </is>
      </c>
      <c r="D4" s="8" t="inlineStr">
        <is>
          <t>Attività / Luogo</t>
        </is>
      </c>
      <c r="E4" s="8" t="inlineStr">
        <is>
          <t>Tipo</t>
        </is>
      </c>
      <c r="F4" s="8" t="inlineStr">
        <is>
          <t>Voto</t>
        </is>
      </c>
      <c r="G4" s="8" t="inlineStr">
        <is>
          <t>Costo ¥</t>
        </is>
      </c>
      <c r="H4" s="8" t="inlineStr">
        <is>
          <t>Costo €</t>
        </is>
      </c>
      <c r="I4" s="8" t="inlineStr">
        <is>
          <t>Stato</t>
        </is>
      </c>
      <c r="J4" s="8" t="inlineStr">
        <is>
          <t>Prenotazione</t>
        </is>
      </c>
      <c r="K4" s="8" t="inlineStr">
        <is>
          <t>Note / Rebecca</t>
        </is>
      </c>
    </row>
    <row r="5" ht="30" customHeight="1">
      <c r="A5" s="11" t="n">
        <v>1</v>
      </c>
      <c r="B5" s="9" t="n">
        <v>46319</v>
      </c>
      <c r="C5" s="10" t="inlineStr">
        <is>
          <t>Izumisano (KIX)</t>
        </is>
      </c>
      <c r="D5" s="10" t="inlineStr">
        <is>
          <t>Nankai Airport Express KIX→Izumisano</t>
        </is>
      </c>
      <c r="E5" s="11" t="inlineStr">
        <is>
          <t>Trasporto</t>
        </is>
      </c>
      <c r="F5" s="11" t="n">
        <v>3</v>
      </c>
      <c r="G5" s="18" t="n">
        <v>520</v>
      </c>
      <c r="H5" s="19">
        <f>IF(OR(G5="",G5=0),"",G5/Tasso_JPY_EUR)</f>
        <v/>
      </c>
      <c r="I5" s="11" t="inlineStr">
        <is>
          <t>Da fare</t>
        </is>
      </c>
      <c r="J5" s="10" t="inlineStr"/>
      <c r="K5" s="10" t="inlineStr">
        <is>
          <t>~10 min</t>
        </is>
      </c>
    </row>
    <row r="6" ht="30" customHeight="1">
      <c r="A6" s="11" t="n">
        <v>1</v>
      </c>
      <c r="B6" s="9" t="n">
        <v>46319</v>
      </c>
      <c r="C6" s="10" t="inlineStr">
        <is>
          <t>Izumisano (KIX)</t>
        </is>
      </c>
      <c r="D6" s="10" t="inlineStr">
        <is>
          <t>Check-in KURA Hotel Izumisano</t>
        </is>
      </c>
      <c r="E6" s="11" t="inlineStr">
        <is>
          <t>Alloggio</t>
        </is>
      </c>
      <c r="F6" s="11" t="n">
        <v>4</v>
      </c>
      <c r="G6" s="18" t="n"/>
      <c r="H6" s="19">
        <f>IF(OR(G6="",G6=0),"",G6/Tasso_JPY_EUR)</f>
        <v/>
      </c>
      <c r="I6" s="11" t="inlineStr">
        <is>
          <t>Da fare</t>
        </is>
      </c>
      <c r="J6" s="10" t="inlineStr">
        <is>
          <t>Booking.com</t>
        </is>
      </c>
      <c r="K6" s="10" t="inlineStr">
        <is>
          <t>Self check-in · kitchenette</t>
        </is>
      </c>
    </row>
    <row r="7" ht="30" customHeight="1">
      <c r="A7" s="11" t="n">
        <v>2</v>
      </c>
      <c r="B7" s="9" t="n">
        <v>46320</v>
      </c>
      <c r="C7" s="10" t="inlineStr">
        <is>
          <t>Osaka</t>
        </is>
      </c>
      <c r="D7" s="10" t="inlineStr">
        <is>
          <t>Nankai Main Line Izumisano→Namba</t>
        </is>
      </c>
      <c r="E7" s="11" t="inlineStr">
        <is>
          <t>Trasporto</t>
        </is>
      </c>
      <c r="F7" s="11" t="n">
        <v>3</v>
      </c>
      <c r="G7" s="18" t="n">
        <v>610</v>
      </c>
      <c r="H7" s="19">
        <f>IF(OR(G7="",G7=0),"",G7/Tasso_JPY_EUR)</f>
        <v/>
      </c>
      <c r="I7" s="11" t="inlineStr">
        <is>
          <t>Da fare</t>
        </is>
      </c>
      <c r="J7" s="10" t="inlineStr"/>
      <c r="K7" s="10" t="inlineStr">
        <is>
          <t>~34 min</t>
        </is>
      </c>
    </row>
    <row r="8" ht="30" customHeight="1">
      <c r="A8" s="11" t="n">
        <v>2</v>
      </c>
      <c r="B8" s="9" t="n">
        <v>46320</v>
      </c>
      <c r="C8" s="10" t="inlineStr">
        <is>
          <t>Osaka</t>
        </is>
      </c>
      <c r="D8" s="10" t="inlineStr">
        <is>
          <t>Shinsaibashi-suji (shopping)</t>
        </is>
      </c>
      <c r="E8" s="11" t="inlineStr">
        <is>
          <t>Shopping</t>
        </is>
      </c>
      <c r="F8" s="11" t="n">
        <v>4</v>
      </c>
      <c r="G8" s="18" t="n"/>
      <c r="H8" s="19">
        <f>IF(OR(G8="",G8=0),"",G8/Tasso_JPY_EUR)</f>
        <v/>
      </c>
      <c r="I8" s="11" t="inlineStr">
        <is>
          <t>Da fare</t>
        </is>
      </c>
      <c r="J8" s="10" t="inlineStr"/>
      <c r="K8" s="10" t="inlineStr">
        <is>
          <t>Negozi ~10:30–20:30</t>
        </is>
      </c>
    </row>
    <row r="9" ht="30" customHeight="1">
      <c r="A9" s="11" t="n">
        <v>2</v>
      </c>
      <c r="B9" s="9" t="n">
        <v>46320</v>
      </c>
      <c r="C9" s="10" t="inlineStr">
        <is>
          <t>Osaka</t>
        </is>
      </c>
      <c r="D9" s="10" t="inlineStr">
        <is>
          <t>Tempio Hozen-ji</t>
        </is>
      </c>
      <c r="E9" s="11" t="inlineStr">
        <is>
          <t>Tempio</t>
        </is>
      </c>
      <c r="F9" s="11" t="n">
        <v>4</v>
      </c>
      <c r="G9" s="18" t="n"/>
      <c r="H9" s="19">
        <f>IF(OR(G9="",G9=0),"",G9/Tasso_JPY_EUR)</f>
        <v/>
      </c>
      <c r="I9" s="11" t="inlineStr">
        <is>
          <t>Da fare</t>
        </is>
      </c>
      <c r="J9" s="10" t="inlineStr"/>
      <c r="K9" s="10" t="inlineStr">
        <is>
          <t>A 2 min da Dotonbori</t>
        </is>
      </c>
    </row>
    <row r="10" ht="30" customHeight="1">
      <c r="A10" s="11" t="n">
        <v>2</v>
      </c>
      <c r="B10" s="9" t="n">
        <v>46320</v>
      </c>
      <c r="C10" s="10" t="inlineStr">
        <is>
          <t>Osaka</t>
        </is>
      </c>
      <c r="D10" s="10" t="inlineStr">
        <is>
          <t>Dotonbori (sera, illuminato)</t>
        </is>
      </c>
      <c r="E10" s="11" t="inlineStr">
        <is>
          <t>Quartiere</t>
        </is>
      </c>
      <c r="F10" s="11" t="n">
        <v>5</v>
      </c>
      <c r="G10" s="18" t="n"/>
      <c r="H10" s="19">
        <f>IF(OR(G10="",G10=0),"",G10/Tasso_JPY_EUR)</f>
        <v/>
      </c>
      <c r="I10" s="11" t="inlineStr">
        <is>
          <t>Da fare</t>
        </is>
      </c>
      <c r="J10" s="10" t="inlineStr"/>
      <c r="K10" s="10" t="inlineStr">
        <is>
          <t>Insegne al neon · street food</t>
        </is>
      </c>
    </row>
    <row r="11" ht="30" customHeight="1">
      <c r="A11" s="11" t="n">
        <v>3</v>
      </c>
      <c r="B11" s="9" t="n">
        <v>46321</v>
      </c>
      <c r="C11" s="10" t="inlineStr">
        <is>
          <t>Osaka</t>
        </is>
      </c>
      <c r="D11" s="10" t="inlineStr">
        <is>
          <t>Castello di Osaka + giardini</t>
        </is>
      </c>
      <c r="E11" s="11" t="inlineStr">
        <is>
          <t>Castello</t>
        </is>
      </c>
      <c r="F11" s="11" t="n">
        <v>4</v>
      </c>
      <c r="G11" s="18" t="n">
        <v>600</v>
      </c>
      <c r="H11" s="19">
        <f>IF(OR(G11="",G11=0),"",G11/Tasso_JPY_EUR)</f>
        <v/>
      </c>
      <c r="I11" s="11" t="inlineStr">
        <is>
          <t>Da fare</t>
        </is>
      </c>
      <c r="J11" s="10" t="inlineStr">
        <is>
          <t>in loco</t>
        </is>
      </c>
      <c r="K11" s="10" t="inlineStr">
        <is>
          <t>Apertura 9:00</t>
        </is>
      </c>
    </row>
    <row r="12" ht="30" customHeight="1">
      <c r="A12" s="11" t="n">
        <v>3</v>
      </c>
      <c r="B12" s="9" t="n">
        <v>46321</v>
      </c>
      <c r="C12" s="10" t="inlineStr">
        <is>
          <t>Osaka</t>
        </is>
      </c>
      <c r="D12" s="10" t="inlineStr">
        <is>
          <t>Tempio Shitenno-ji</t>
        </is>
      </c>
      <c r="E12" s="11" t="inlineStr">
        <is>
          <t>Tempio</t>
        </is>
      </c>
      <c r="F12" s="11" t="n">
        <v>4</v>
      </c>
      <c r="G12" s="18" t="n">
        <v>500</v>
      </c>
      <c r="H12" s="19">
        <f>IF(OR(G12="",G12=0),"",G12/Tasso_JPY_EUR)</f>
        <v/>
      </c>
      <c r="I12" s="11" t="inlineStr">
        <is>
          <t>Da fare</t>
        </is>
      </c>
      <c r="J12" s="10" t="inlineStr">
        <is>
          <t>in loco</t>
        </is>
      </c>
      <c r="K12" s="10" t="inlineStr">
        <is>
          <t>9:00–16:30</t>
        </is>
      </c>
    </row>
    <row r="13" ht="30" customHeight="1">
      <c r="A13" s="11" t="n">
        <v>3</v>
      </c>
      <c r="B13" s="9" t="n">
        <v>46321</v>
      </c>
      <c r="C13" s="10" t="inlineStr">
        <is>
          <t>Osaka</t>
        </is>
      </c>
      <c r="D13" s="10" t="inlineStr">
        <is>
          <t>Shinsekai</t>
        </is>
      </c>
      <c r="E13" s="11" t="inlineStr">
        <is>
          <t>Quartiere</t>
        </is>
      </c>
      <c r="F13" s="11" t="n">
        <v>4</v>
      </c>
      <c r="G13" s="18" t="n"/>
      <c r="H13" s="19">
        <f>IF(OR(G13="",G13=0),"",G13/Tasso_JPY_EUR)</f>
        <v/>
      </c>
      <c r="I13" s="11" t="inlineStr">
        <is>
          <t>Da fare</t>
        </is>
      </c>
      <c r="J13" s="10" t="inlineStr"/>
      <c r="K13" s="10" t="inlineStr">
        <is>
          <t>Atmosfera retrò · kushikatsu</t>
        </is>
      </c>
    </row>
    <row r="14" ht="30" customHeight="1">
      <c r="A14" s="11" t="n">
        <v>3</v>
      </c>
      <c r="B14" s="9" t="n">
        <v>46321</v>
      </c>
      <c r="C14" s="10" t="inlineStr">
        <is>
          <t>Osaka</t>
        </is>
      </c>
      <c r="D14" s="10" t="inlineStr">
        <is>
          <t>Torre Tsutenkaku</t>
        </is>
      </c>
      <c r="E14" s="11" t="inlineStr">
        <is>
          <t>Attività</t>
        </is>
      </c>
      <c r="F14" s="11" t="n">
        <v>2</v>
      </c>
      <c r="G14" s="18" t="n">
        <v>900</v>
      </c>
      <c r="H14" s="19">
        <f>IF(OR(G14="",G14=0),"",G14/Tasso_JPY_EUR)</f>
        <v/>
      </c>
      <c r="I14" s="11" t="inlineStr">
        <is>
          <t>Opzionale</t>
        </is>
      </c>
      <c r="J14" s="10" t="inlineStr">
        <is>
          <t>in loco</t>
        </is>
      </c>
      <c r="K14" s="10" t="inlineStr"/>
    </row>
    <row r="15" ht="30" customHeight="1">
      <c r="A15" s="11" t="n">
        <v>3</v>
      </c>
      <c r="B15" s="9" t="n">
        <v>46321</v>
      </c>
      <c r="C15" s="10" t="inlineStr">
        <is>
          <t>Osaka</t>
        </is>
      </c>
      <c r="D15" s="10" t="inlineStr">
        <is>
          <t>Nipponbashi Den Den Town ⭐Lorenzo</t>
        </is>
      </c>
      <c r="E15" s="11" t="inlineStr">
        <is>
          <t>Shopping</t>
        </is>
      </c>
      <c r="F15" s="11" t="n">
        <v>4</v>
      </c>
      <c r="G15" s="18" t="n"/>
      <c r="H15" s="19">
        <f>IF(OR(G15="",G15=0),"",G15/Tasso_JPY_EUR)</f>
        <v/>
      </c>
      <c r="I15" s="11" t="inlineStr">
        <is>
          <t>Da fare</t>
        </is>
      </c>
      <c r="J15" s="10" t="inlineStr"/>
      <c r="K15" s="10" t="inlineStr">
        <is>
          <t>Osaka's Akihabara · ~2h45</t>
        </is>
      </c>
    </row>
    <row r="16" ht="30" customHeight="1">
      <c r="A16" s="11" t="n">
        <v>4</v>
      </c>
      <c r="B16" s="9" t="n">
        <v>46322</v>
      </c>
      <c r="C16" s="10" t="inlineStr">
        <is>
          <t>Osaka</t>
        </is>
      </c>
      <c r="D16" s="10" t="inlineStr">
        <is>
          <t>USJ — Super Nintendo World</t>
        </is>
      </c>
      <c r="E16" s="11" t="inlineStr">
        <is>
          <t>Attività</t>
        </is>
      </c>
      <c r="F16" s="11" t="n">
        <v>4</v>
      </c>
      <c r="G16" s="18" t="n"/>
      <c r="H16" s="19">
        <f>IF(OR(G16="",G16=0),"",G16/Tasso_JPY_EUR)</f>
        <v/>
      </c>
      <c r="I16" s="11" t="inlineStr">
        <is>
          <t>Da fare</t>
        </is>
      </c>
      <c r="J16" s="10" t="inlineStr">
        <is>
          <t>Klook</t>
        </is>
      </c>
      <c r="K16" s="10" t="inlineStr">
        <is>
          <t>Orario assegnato · incluso nel biglietto</t>
        </is>
      </c>
    </row>
    <row r="17" ht="30" customHeight="1">
      <c r="A17" s="11" t="n">
        <v>4</v>
      </c>
      <c r="B17" s="9" t="n">
        <v>46322</v>
      </c>
      <c r="C17" s="10" t="inlineStr">
        <is>
          <t>Osaka</t>
        </is>
      </c>
      <c r="D17" s="10" t="inlineStr">
        <is>
          <t>USJ — Harry Potter</t>
        </is>
      </c>
      <c r="E17" s="11" t="inlineStr">
        <is>
          <t>Attività</t>
        </is>
      </c>
      <c r="F17" s="11" t="n">
        <v>4</v>
      </c>
      <c r="G17" s="18" t="n"/>
      <c r="H17" s="19">
        <f>IF(OR(G17="",G17=0),"",G17/Tasso_JPY_EUR)</f>
        <v/>
      </c>
      <c r="I17" s="11" t="inlineStr">
        <is>
          <t>Da fare</t>
        </is>
      </c>
      <c r="J17" s="10" t="inlineStr">
        <is>
          <t>Klook</t>
        </is>
      </c>
      <c r="K17" s="10" t="inlineStr">
        <is>
          <t>Hogwarts Castle</t>
        </is>
      </c>
    </row>
    <row r="18" ht="30" customHeight="1">
      <c r="A18" s="11" t="n">
        <v>4</v>
      </c>
      <c r="B18" s="9" t="n">
        <v>46322</v>
      </c>
      <c r="C18" s="10" t="inlineStr">
        <is>
          <t>Osaka</t>
        </is>
      </c>
      <c r="D18" s="10" t="inlineStr">
        <is>
          <t>USJ — Minion Park / Jurassic</t>
        </is>
      </c>
      <c r="E18" s="11" t="inlineStr">
        <is>
          <t>Attività</t>
        </is>
      </c>
      <c r="F18" s="11" t="n">
        <v>3</v>
      </c>
      <c r="G18" s="18" t="n"/>
      <c r="H18" s="19">
        <f>IF(OR(G18="",G18=0),"",G18/Tasso_JPY_EUR)</f>
        <v/>
      </c>
      <c r="I18" s="11" t="inlineStr">
        <is>
          <t>Da fare</t>
        </is>
      </c>
      <c r="J18" s="10" t="inlineStr">
        <is>
          <t>Klook</t>
        </is>
      </c>
      <c r="K18" s="10" t="inlineStr">
        <is>
          <t>Voucher pasto incluso</t>
        </is>
      </c>
    </row>
    <row r="19" ht="30" customHeight="1">
      <c r="A19" s="11" t="n">
        <v>5</v>
      </c>
      <c r="B19" s="9" t="n">
        <v>46323</v>
      </c>
      <c r="C19" s="10" t="inlineStr">
        <is>
          <t>Hiroshima / Miyajima</t>
        </is>
      </c>
      <c r="D19" s="10" t="inlineStr">
        <is>
          <t>Attivazione JR Kansai-Hiroshima Pass</t>
        </is>
      </c>
      <c r="E19" s="11" t="inlineStr">
        <is>
          <t>Trasporto</t>
        </is>
      </c>
      <c r="F19" s="11" t="n">
        <v>5</v>
      </c>
      <c r="G19" s="18" t="n">
        <v>17000</v>
      </c>
      <c r="H19" s="19">
        <f>IF(OR(G19="",G19=0),"",G19/Tasso_JPY_EUR)</f>
        <v/>
      </c>
      <c r="I19" s="11" t="inlineStr">
        <is>
          <t>Da fare</t>
        </is>
      </c>
      <c r="J19" s="10" t="inlineStr">
        <is>
          <t>JR-WEST ONLINE</t>
        </is>
      </c>
      <c r="K19" s="10" t="inlineStr">
        <is>
          <t>Ritiro/attivazione 28 ott</t>
        </is>
      </c>
    </row>
    <row r="20" ht="30" customHeight="1">
      <c r="A20" s="11" t="n">
        <v>5</v>
      </c>
      <c r="B20" s="9" t="n">
        <v>46323</v>
      </c>
      <c r="C20" s="10" t="inlineStr">
        <is>
          <t>Hiroshima / Miyajima</t>
        </is>
      </c>
      <c r="D20" s="10" t="inlineStr">
        <is>
          <t>Shinkansen Shin-Osaka→Hiroshima</t>
        </is>
      </c>
      <c r="E20" s="11" t="inlineStr">
        <is>
          <t>Trasporto</t>
        </is>
      </c>
      <c r="F20" s="11" t="n">
        <v>3</v>
      </c>
      <c r="G20" s="18" t="n"/>
      <c r="H20" s="19">
        <f>IF(OR(G20="",G20=0),"",G20/Tasso_JPY_EUR)</f>
        <v/>
      </c>
      <c r="I20" s="11" t="inlineStr">
        <is>
          <t>Da fare</t>
        </is>
      </c>
      <c r="J20" s="10" t="inlineStr"/>
      <c r="K20" s="10" t="inlineStr">
        <is>
          <t>Incluso nel pass · ~1h30</t>
        </is>
      </c>
    </row>
    <row r="21" ht="30" customHeight="1">
      <c r="A21" s="11" t="n">
        <v>5</v>
      </c>
      <c r="B21" s="9" t="n">
        <v>46323</v>
      </c>
      <c r="C21" s="10" t="inlineStr">
        <is>
          <t>Hiroshima / Miyajima</t>
        </is>
      </c>
      <c r="D21" s="10" t="inlineStr">
        <is>
          <t>Traghetto JR → Miyajima</t>
        </is>
      </c>
      <c r="E21" s="11" t="inlineStr">
        <is>
          <t>Trasporto</t>
        </is>
      </c>
      <c r="F21" s="11" t="n">
        <v>4</v>
      </c>
      <c r="G21" s="18" t="n"/>
      <c r="H21" s="19">
        <f>IF(OR(G21="",G21=0),"",G21/Tasso_JPY_EUR)</f>
        <v/>
      </c>
      <c r="I21" s="11" t="inlineStr">
        <is>
          <t>Da fare</t>
        </is>
      </c>
      <c r="J21" s="10" t="inlineStr"/>
      <c r="K21" s="10" t="inlineStr">
        <is>
          <t>Incluso nel pass · tassa 100 ¥</t>
        </is>
      </c>
    </row>
    <row r="22" ht="30" customHeight="1">
      <c r="A22" s="11" t="n">
        <v>5</v>
      </c>
      <c r="B22" s="9" t="n">
        <v>46323</v>
      </c>
      <c r="C22" s="10" t="inlineStr">
        <is>
          <t>Hiroshima / Miyajima</t>
        </is>
      </c>
      <c r="D22" s="10" t="inlineStr">
        <is>
          <t>Itsukushima Shrine (torii)</t>
        </is>
      </c>
      <c r="E22" s="11" t="inlineStr">
        <is>
          <t>Tempio</t>
        </is>
      </c>
      <c r="F22" s="11" t="n">
        <v>5</v>
      </c>
      <c r="G22" s="18" t="n">
        <v>300</v>
      </c>
      <c r="H22" s="19">
        <f>IF(OR(G22="",G22=0),"",G22/Tasso_JPY_EUR)</f>
        <v/>
      </c>
      <c r="I22" s="11" t="inlineStr">
        <is>
          <t>Da fare</t>
        </is>
      </c>
      <c r="J22" s="10" t="inlineStr">
        <is>
          <t>in loco</t>
        </is>
      </c>
      <c r="K22" s="10" t="inlineStr">
        <is>
          <t>Verificare orari maree</t>
        </is>
      </c>
    </row>
    <row r="23" ht="30" customHeight="1">
      <c r="A23" s="11" t="n">
        <v>5</v>
      </c>
      <c r="B23" s="9" t="n">
        <v>46323</v>
      </c>
      <c r="C23" s="10" t="inlineStr">
        <is>
          <t>Hiroshima / Miyajima</t>
        </is>
      </c>
      <c r="D23" s="10" t="inlineStr">
        <is>
          <t>Tempio Daisho-in</t>
        </is>
      </c>
      <c r="E23" s="11" t="inlineStr">
        <is>
          <t>Tempio</t>
        </is>
      </c>
      <c r="F23" s="11" t="n">
        <v>3</v>
      </c>
      <c r="G23" s="18" t="n"/>
      <c r="H23" s="19">
        <f>IF(OR(G23="",G23=0),"",G23/Tasso_JPY_EUR)</f>
        <v/>
      </c>
      <c r="I23" s="11" t="inlineStr">
        <is>
          <t>Da fare</t>
        </is>
      </c>
      <c r="J23" s="10" t="inlineStr"/>
      <c r="K23" s="10" t="inlineStr">
        <is>
          <t>8:00–17:00</t>
        </is>
      </c>
    </row>
    <row r="24" ht="30" customHeight="1">
      <c r="A24" s="11" t="n">
        <v>5</v>
      </c>
      <c r="B24" s="9" t="n">
        <v>46323</v>
      </c>
      <c r="C24" s="10" t="inlineStr">
        <is>
          <t>Hiroshima / Miyajima</t>
        </is>
      </c>
      <c r="D24" s="10" t="inlineStr">
        <is>
          <t>Museo della Pace Hiroshima</t>
        </is>
      </c>
      <c r="E24" s="11" t="inlineStr">
        <is>
          <t>Museo</t>
        </is>
      </c>
      <c r="F24" s="11" t="n">
        <v>4</v>
      </c>
      <c r="G24" s="18" t="n">
        <v>200</v>
      </c>
      <c r="H24" s="19">
        <f>IF(OR(G24="",G24=0),"",G24/Tasso_JPY_EUR)</f>
        <v/>
      </c>
      <c r="I24" s="11" t="inlineStr">
        <is>
          <t>Da fare</t>
        </is>
      </c>
      <c r="J24" s="10" t="inlineStr">
        <is>
          <t>Klook/Asoview</t>
        </is>
      </c>
      <c r="K24" s="10" t="inlineStr">
        <is>
          <t>Slot 30' · ~2h</t>
        </is>
      </c>
    </row>
    <row r="25" ht="30" customHeight="1">
      <c r="A25" s="11" t="n">
        <v>5</v>
      </c>
      <c r="B25" s="9" t="n">
        <v>46323</v>
      </c>
      <c r="C25" s="10" t="inlineStr">
        <is>
          <t>Hiroshima / Miyajima</t>
        </is>
      </c>
      <c r="D25" s="10" t="inlineStr">
        <is>
          <t>Genbaku Dome / Peace Park</t>
        </is>
      </c>
      <c r="E25" s="11" t="inlineStr">
        <is>
          <t>Monumento</t>
        </is>
      </c>
      <c r="F25" s="11" t="n">
        <v>5</v>
      </c>
      <c r="G25" s="18" t="n"/>
      <c r="H25" s="19">
        <f>IF(OR(G25="",G25=0),"",G25/Tasso_JPY_EUR)</f>
        <v/>
      </c>
      <c r="I25" s="11" t="inlineStr">
        <is>
          <t>Da fare</t>
        </is>
      </c>
      <c r="J25" s="10" t="inlineStr"/>
      <c r="K25" s="10" t="inlineStr">
        <is>
          <t>UNESCO · gratuito</t>
        </is>
      </c>
    </row>
    <row r="26" ht="30" customHeight="1">
      <c r="A26" s="11" t="n">
        <v>5</v>
      </c>
      <c r="B26" s="9" t="n">
        <v>46323</v>
      </c>
      <c r="C26" s="10" t="inlineStr">
        <is>
          <t>Hiroshima / Miyajima</t>
        </is>
      </c>
      <c r="D26" s="10" t="inlineStr">
        <is>
          <t>Hondori street</t>
        </is>
      </c>
      <c r="E26" s="11" t="inlineStr">
        <is>
          <t>Shopping</t>
        </is>
      </c>
      <c r="F26" s="11" t="n">
        <v>3</v>
      </c>
      <c r="G26" s="18" t="n"/>
      <c r="H26" s="19">
        <f>IF(OR(G26="",G26=0),"",G26/Tasso_JPY_EUR)</f>
        <v/>
      </c>
      <c r="I26" s="11" t="inlineStr">
        <is>
          <t>Opzionale</t>
        </is>
      </c>
      <c r="J26" s="10" t="inlineStr"/>
      <c r="K26" s="10" t="inlineStr">
        <is>
          <t>Momiji manju · uscire 17:30</t>
        </is>
      </c>
    </row>
    <row r="27" ht="30" customHeight="1">
      <c r="A27" s="11" t="n">
        <v>6</v>
      </c>
      <c r="B27" s="9" t="n">
        <v>46324</v>
      </c>
      <c r="C27" s="10" t="inlineStr">
        <is>
          <t>Nara / Kyoto</t>
        </is>
      </c>
      <c r="D27" s="10" t="inlineStr">
        <is>
          <t>Takkyubin valigie Osaka→Tokyo</t>
        </is>
      </c>
      <c r="E27" s="11" t="inlineStr">
        <is>
          <t>Logistica</t>
        </is>
      </c>
      <c r="F27" s="11" t="n">
        <v>4</v>
      </c>
      <c r="G27" s="18" t="n">
        <v>9480</v>
      </c>
      <c r="H27" s="19">
        <f>IF(OR(G27="",G27=0),"",G27/Tasso_JPY_EUR)</f>
        <v/>
      </c>
      <c r="I27" s="11" t="inlineStr">
        <is>
          <t>Da fare</t>
        </is>
      </c>
      <c r="J27" s="10" t="inlineStr">
        <is>
          <t>Yamato</t>
        </is>
      </c>
      <c r="K27" s="10" t="inlineStr">
        <is>
          <t>3 valigie · consegna 1 nov</t>
        </is>
      </c>
    </row>
    <row r="28" ht="30" customHeight="1">
      <c r="A28" s="11" t="n">
        <v>6</v>
      </c>
      <c r="B28" s="9" t="n">
        <v>46324</v>
      </c>
      <c r="C28" s="10" t="inlineStr">
        <is>
          <t>Nara / Kyoto</t>
        </is>
      </c>
      <c r="D28" s="10" t="inlineStr">
        <is>
          <t>Kintetsu Namba→Nara</t>
        </is>
      </c>
      <c r="E28" s="11" t="inlineStr">
        <is>
          <t>Trasporto</t>
        </is>
      </c>
      <c r="F28" s="11" t="n">
        <v>3</v>
      </c>
      <c r="G28" s="18" t="n">
        <v>570</v>
      </c>
      <c r="H28" s="19">
        <f>IF(OR(G28="",G28=0),"",G28/Tasso_JPY_EUR)</f>
        <v/>
      </c>
      <c r="I28" s="11" t="inlineStr">
        <is>
          <t>Da fare</t>
        </is>
      </c>
      <c r="J28" s="10" t="inlineStr"/>
      <c r="K28" s="10" t="inlineStr">
        <is>
          <t>Non-JR · ~40 min</t>
        </is>
      </c>
    </row>
    <row r="29" ht="30" customHeight="1">
      <c r="A29" s="11" t="n">
        <v>6</v>
      </c>
      <c r="B29" s="9" t="n">
        <v>46324</v>
      </c>
      <c r="C29" s="10" t="inlineStr">
        <is>
          <t>Nara / Kyoto</t>
        </is>
      </c>
      <c r="D29" s="10" t="inlineStr">
        <is>
          <t>Parco di Nara (cervi)</t>
        </is>
      </c>
      <c r="E29" s="11" t="inlineStr">
        <is>
          <t>Natura</t>
        </is>
      </c>
      <c r="F29" s="11" t="n">
        <v>4</v>
      </c>
      <c r="G29" s="18" t="n"/>
      <c r="H29" s="19">
        <f>IF(OR(G29="",G29=0),"",G29/Tasso_JPY_EUR)</f>
        <v/>
      </c>
      <c r="I29" s="11" t="inlineStr">
        <is>
          <t>Da fare</t>
        </is>
      </c>
      <c r="J29" s="10" t="inlineStr"/>
      <c r="K29" s="10" t="inlineStr">
        <is>
          <t>Shika senbei 150 ¥</t>
        </is>
      </c>
    </row>
    <row r="30" ht="30" customHeight="1">
      <c r="A30" s="11" t="n">
        <v>6</v>
      </c>
      <c r="B30" s="9" t="n">
        <v>46324</v>
      </c>
      <c r="C30" s="10" t="inlineStr">
        <is>
          <t>Nara / Kyoto</t>
        </is>
      </c>
      <c r="D30" s="10" t="inlineStr">
        <is>
          <t>Tempio Todaiji (Gran Buddha)</t>
        </is>
      </c>
      <c r="E30" s="11" t="inlineStr">
        <is>
          <t>Tempio</t>
        </is>
      </c>
      <c r="F30" s="11" t="n">
        <v>5</v>
      </c>
      <c r="G30" s="18" t="n">
        <v>800</v>
      </c>
      <c r="H30" s="19">
        <f>IF(OR(G30="",G30=0),"",G30/Tasso_JPY_EUR)</f>
        <v/>
      </c>
      <c r="I30" s="11" t="inlineStr">
        <is>
          <t>Da fare</t>
        </is>
      </c>
      <c r="J30" s="10" t="inlineStr">
        <is>
          <t>in loco</t>
        </is>
      </c>
      <c r="K30" s="10" t="inlineStr">
        <is>
          <t>Daibutsu 15 m</t>
        </is>
      </c>
    </row>
    <row r="31" ht="30" customHeight="1">
      <c r="A31" s="11" t="n">
        <v>6</v>
      </c>
      <c r="B31" s="9" t="n">
        <v>46324</v>
      </c>
      <c r="C31" s="10" t="inlineStr">
        <is>
          <t>Nara / Kyoto</t>
        </is>
      </c>
      <c r="D31" s="10" t="inlineStr">
        <is>
          <t>Santuario Kasuga Taisha</t>
        </is>
      </c>
      <c r="E31" s="11" t="inlineStr">
        <is>
          <t>Tempio</t>
        </is>
      </c>
      <c r="F31" s="11" t="n">
        <v>3</v>
      </c>
      <c r="G31" s="18" t="n"/>
      <c r="H31" s="19">
        <f>IF(OR(G31="",G31=0),"",G31/Tasso_JPY_EUR)</f>
        <v/>
      </c>
      <c r="I31" s="11" t="inlineStr">
        <is>
          <t>Da fare</t>
        </is>
      </c>
      <c r="J31" s="10" t="inlineStr"/>
      <c r="K31" s="10" t="inlineStr">
        <is>
          <t>3.000 lanterne</t>
        </is>
      </c>
    </row>
    <row r="32" ht="30" customHeight="1">
      <c r="A32" s="11" t="n">
        <v>6</v>
      </c>
      <c r="B32" s="9" t="n">
        <v>46324</v>
      </c>
      <c r="C32" s="10" t="inlineStr">
        <is>
          <t>Nara / Kyoto</t>
        </is>
      </c>
      <c r="D32" s="10" t="inlineStr">
        <is>
          <t>Fushimi Inari (sera)</t>
        </is>
      </c>
      <c r="E32" s="11" t="inlineStr">
        <is>
          <t>Tempio</t>
        </is>
      </c>
      <c r="F32" s="11" t="n">
        <v>3</v>
      </c>
      <c r="G32" s="18" t="n"/>
      <c r="H32" s="19">
        <f>IF(OR(G32="",G32=0),"",G32/Tasso_JPY_EUR)</f>
        <v/>
      </c>
      <c r="I32" s="11" t="inlineStr">
        <is>
          <t>Da fare</t>
        </is>
      </c>
      <c r="J32" s="10" t="inlineStr"/>
      <c r="K32" s="10" t="inlineStr">
        <is>
          <t>24h · JR 5 min dal pass</t>
        </is>
      </c>
    </row>
    <row r="33" ht="30" customHeight="1">
      <c r="A33" s="11" t="n">
        <v>7</v>
      </c>
      <c r="B33" s="9" t="n">
        <v>46325</v>
      </c>
      <c r="C33" s="10" t="inlineStr">
        <is>
          <t>Kyoto</t>
        </is>
      </c>
      <c r="D33" s="10" t="inlineStr">
        <is>
          <t>Sannenzaka &amp; Ninenzaka</t>
        </is>
      </c>
      <c r="E33" s="11" t="inlineStr">
        <is>
          <t>Quartiere</t>
        </is>
      </c>
      <c r="F33" s="11" t="n">
        <v>4</v>
      </c>
      <c r="G33" s="18" t="n"/>
      <c r="H33" s="19">
        <f>IF(OR(G33="",G33=0),"",G33/Tasso_JPY_EUR)</f>
        <v/>
      </c>
      <c r="I33" s="11" t="inlineStr">
        <is>
          <t>Da fare</t>
        </is>
      </c>
      <c r="J33" s="10" t="inlineStr"/>
      <c r="K33" s="10" t="inlineStr">
        <is>
          <t>Viuzze acciottolate</t>
        </is>
      </c>
    </row>
    <row r="34" ht="30" customHeight="1">
      <c r="A34" s="11" t="n">
        <v>7</v>
      </c>
      <c r="B34" s="9" t="n">
        <v>46325</v>
      </c>
      <c r="C34" s="10" t="inlineStr">
        <is>
          <t>Kyoto</t>
        </is>
      </c>
      <c r="D34" s="10" t="inlineStr">
        <is>
          <t>Tempio Kodai-ji</t>
        </is>
      </c>
      <c r="E34" s="11" t="inlineStr">
        <is>
          <t>Tempio</t>
        </is>
      </c>
      <c r="F34" s="11" t="n">
        <v>3</v>
      </c>
      <c r="G34" s="18" t="n">
        <v>600</v>
      </c>
      <c r="H34" s="19">
        <f>IF(OR(G34="",G34=0),"",G34/Tasso_JPY_EUR)</f>
        <v/>
      </c>
      <c r="I34" s="11" t="inlineStr">
        <is>
          <t>Da fare</t>
        </is>
      </c>
      <c r="J34" s="10" t="inlineStr">
        <is>
          <t>in loco</t>
        </is>
      </c>
      <c r="K34" s="10" t="inlineStr">
        <is>
          <t>9:00–17:00</t>
        </is>
      </c>
    </row>
    <row r="35" ht="30" customHeight="1">
      <c r="A35" s="11" t="n">
        <v>7</v>
      </c>
      <c r="B35" s="9" t="n">
        <v>46325</v>
      </c>
      <c r="C35" s="10" t="inlineStr">
        <is>
          <t>Kyoto</t>
        </is>
      </c>
      <c r="D35" s="10" t="inlineStr">
        <is>
          <t>Nishiki Market</t>
        </is>
      </c>
      <c r="E35" s="11" t="inlineStr">
        <is>
          <t>Mercato</t>
        </is>
      </c>
      <c r="F35" s="11" t="n">
        <v>4</v>
      </c>
      <c r="G35" s="18" t="n"/>
      <c r="H35" s="19">
        <f>IF(OR(G35="",G35=0),"",G35/Tasso_JPY_EUR)</f>
        <v/>
      </c>
      <c r="I35" s="11" t="inlineStr">
        <is>
          <t>Da fare</t>
        </is>
      </c>
      <c r="J35" s="10" t="inlineStr"/>
      <c r="K35" s="10" t="inlineStr">
        <is>
          <t>Attenzione: alcuni negozi chiusi il mercoledì</t>
        </is>
      </c>
    </row>
    <row r="36" ht="30" customHeight="1">
      <c r="A36" s="11" t="n">
        <v>7</v>
      </c>
      <c r="B36" s="9" t="n">
        <v>46325</v>
      </c>
      <c r="C36" s="10" t="inlineStr">
        <is>
          <t>Kyoto</t>
        </is>
      </c>
      <c r="D36" s="10" t="inlineStr">
        <is>
          <t>Santuario Yasaka</t>
        </is>
      </c>
      <c r="E36" s="11" t="inlineStr">
        <is>
          <t>Tempio</t>
        </is>
      </c>
      <c r="F36" s="11" t="n">
        <v>4</v>
      </c>
      <c r="G36" s="18" t="n"/>
      <c r="H36" s="19">
        <f>IF(OR(G36="",G36=0),"",G36/Tasso_JPY_EUR)</f>
        <v/>
      </c>
      <c r="I36" s="11" t="inlineStr">
        <is>
          <t>Da fare</t>
        </is>
      </c>
      <c r="J36" s="10" t="inlineStr"/>
      <c r="K36" s="10" t="inlineStr">
        <is>
          <t>24h · gratuito</t>
        </is>
      </c>
    </row>
    <row r="37" ht="30" customHeight="1">
      <c r="A37" s="11" t="n">
        <v>7</v>
      </c>
      <c r="B37" s="9" t="n">
        <v>46325</v>
      </c>
      <c r="C37" s="10" t="inlineStr">
        <is>
          <t>Kyoto</t>
        </is>
      </c>
      <c r="D37" s="10" t="inlineStr">
        <is>
          <t>Quartiere Gion</t>
        </is>
      </c>
      <c r="E37" s="11" t="inlineStr">
        <is>
          <t>Quartiere</t>
        </is>
      </c>
      <c r="F37" s="11" t="n">
        <v>2</v>
      </c>
      <c r="G37" s="18" t="n"/>
      <c r="H37" s="19">
        <f>IF(OR(G37="",G37=0),"",G37/Tasso_JPY_EUR)</f>
        <v/>
      </c>
      <c r="I37" s="11" t="inlineStr">
        <is>
          <t>Da fare</t>
        </is>
      </c>
      <c r="J37" s="10" t="inlineStr"/>
      <c r="K37" s="10" t="inlineStr">
        <is>
          <t>Vietato vicoli privati (multa)</t>
        </is>
      </c>
    </row>
    <row r="38" ht="30" customHeight="1">
      <c r="A38" s="11" t="n">
        <v>7</v>
      </c>
      <c r="B38" s="9" t="n">
        <v>46325</v>
      </c>
      <c r="C38" s="10" t="inlineStr">
        <is>
          <t>Kyoto</t>
        </is>
      </c>
      <c r="D38" s="10" t="inlineStr">
        <is>
          <t>Kiyomizu-dera al tramonto</t>
        </is>
      </c>
      <c r="E38" s="11" t="inlineStr">
        <is>
          <t>Tempio</t>
        </is>
      </c>
      <c r="F38" s="11" t="n">
        <v>5</v>
      </c>
      <c r="G38" s="18" t="n">
        <v>500</v>
      </c>
      <c r="H38" s="19">
        <f>IF(OR(G38="",G38=0),"",G38/Tasso_JPY_EUR)</f>
        <v/>
      </c>
      <c r="I38" s="11" t="inlineStr">
        <is>
          <t>Da fare</t>
        </is>
      </c>
      <c r="J38" s="10" t="inlineStr">
        <is>
          <t>in loco</t>
        </is>
      </c>
      <c r="K38" s="10" t="inlineStr">
        <is>
          <t>Ultimo ingresso ~17:30</t>
        </is>
      </c>
    </row>
    <row r="39" ht="30" customHeight="1">
      <c r="A39" s="11" t="n">
        <v>8</v>
      </c>
      <c r="B39" s="9" t="n">
        <v>46326</v>
      </c>
      <c r="C39" s="10" t="inlineStr">
        <is>
          <t>Kyoto</t>
        </is>
      </c>
      <c r="D39" s="10" t="inlineStr">
        <is>
          <t>Kinkaku-ji (Padiglione d'Oro)</t>
        </is>
      </c>
      <c r="E39" s="11" t="inlineStr">
        <is>
          <t>Tempio</t>
        </is>
      </c>
      <c r="F39" s="11" t="n">
        <v>3</v>
      </c>
      <c r="G39" s="18" t="n">
        <v>500</v>
      </c>
      <c r="H39" s="19">
        <f>IF(OR(G39="",G39=0),"",G39/Tasso_JPY_EUR)</f>
        <v/>
      </c>
      <c r="I39" s="11" t="inlineStr">
        <is>
          <t>Da fare</t>
        </is>
      </c>
      <c r="J39" s="10" t="inlineStr">
        <is>
          <t>in loco</t>
        </is>
      </c>
      <c r="K39" s="10" t="inlineStr">
        <is>
          <t>9:00–17:00</t>
        </is>
      </c>
    </row>
    <row r="40" ht="30" customHeight="1">
      <c r="A40" s="11" t="n">
        <v>8</v>
      </c>
      <c r="B40" s="9" t="n">
        <v>46326</v>
      </c>
      <c r="C40" s="10" t="inlineStr">
        <is>
          <t>Kyoto</t>
        </is>
      </c>
      <c r="D40" s="10" t="inlineStr">
        <is>
          <t>Ryoan-ji</t>
        </is>
      </c>
      <c r="E40" s="11" t="inlineStr">
        <is>
          <t>Tempio</t>
        </is>
      </c>
      <c r="F40" s="11" t="n">
        <v>2</v>
      </c>
      <c r="G40" s="18" t="n">
        <v>600</v>
      </c>
      <c r="H40" s="19">
        <f>IF(OR(G40="",G40=0),"",G40/Tasso_JPY_EUR)</f>
        <v/>
      </c>
      <c r="I40" s="11" t="inlineStr">
        <is>
          <t>Opzionale</t>
        </is>
      </c>
      <c r="J40" s="10" t="inlineStr">
        <is>
          <t>in loco</t>
        </is>
      </c>
      <c r="K40" s="10" t="inlineStr">
        <is>
          <t>Giardino zen di rocce</t>
        </is>
      </c>
    </row>
    <row r="41" ht="30" customHeight="1">
      <c r="A41" s="11" t="n">
        <v>8</v>
      </c>
      <c r="B41" s="9" t="n">
        <v>46326</v>
      </c>
      <c r="C41" s="10" t="inlineStr">
        <is>
          <t>Kyoto</t>
        </is>
      </c>
      <c r="D41" s="10" t="inlineStr">
        <is>
          <t>Uzumasa Kyoto Village + EVA</t>
        </is>
      </c>
      <c r="E41" s="11" t="inlineStr">
        <is>
          <t>Attività</t>
        </is>
      </c>
      <c r="F41" s="11" t="n">
        <v>3</v>
      </c>
      <c r="G41" s="18" t="n">
        <v>2800</v>
      </c>
      <c r="H41" s="19">
        <f>IF(OR(G41="",G41=0),"",G41/Tasso_JPY_EUR)</f>
        <v/>
      </c>
      <c r="I41" s="11" t="inlineStr">
        <is>
          <t>Da fare</t>
        </is>
      </c>
      <c r="J41" s="10" t="inlineStr">
        <is>
          <t>ticket.eigamura.com</t>
        </is>
      </c>
      <c r="K41" s="10" t="inlineStr">
        <is>
          <t>EVA ultimo ingresso 17:15</t>
        </is>
      </c>
    </row>
    <row r="42" ht="30" customHeight="1">
      <c r="A42" s="11" t="n">
        <v>8</v>
      </c>
      <c r="B42" s="9" t="n">
        <v>46326</v>
      </c>
      <c r="C42" s="10" t="inlineStr">
        <is>
          <t>Kyoto</t>
        </is>
      </c>
      <c r="D42" s="10" t="inlineStr">
        <is>
          <t>Halloween a Gion</t>
        </is>
      </c>
      <c r="E42" s="11" t="inlineStr">
        <is>
          <t>Evento</t>
        </is>
      </c>
      <c r="F42" s="11" t="n">
        <v>3</v>
      </c>
      <c r="G42" s="18" t="n"/>
      <c r="H42" s="19">
        <f>IF(OR(G42="",G42=0),"",G42/Tasso_JPY_EUR)</f>
        <v/>
      </c>
      <c r="I42" s="11" t="inlineStr">
        <is>
          <t>Da fare</t>
        </is>
      </c>
      <c r="J42" s="10" t="inlineStr"/>
      <c r="K42" s="10" t="inlineStr">
        <is>
          <t>Verificare eventi serali</t>
        </is>
      </c>
    </row>
    <row r="43" ht="30" customHeight="1">
      <c r="A43" s="11" t="n">
        <v>9</v>
      </c>
      <c r="B43" s="9" t="n">
        <v>46327</v>
      </c>
      <c r="C43" s="10" t="inlineStr">
        <is>
          <t>Kyoto → Tokyo</t>
        </is>
      </c>
      <c r="D43" s="10" t="inlineStr">
        <is>
          <t>Shinkansen Hikari Kyoto→Tokyo</t>
        </is>
      </c>
      <c r="E43" s="11" t="inlineStr">
        <is>
          <t>Trasporto</t>
        </is>
      </c>
      <c r="F43" s="11" t="n">
        <v>3</v>
      </c>
      <c r="G43" s="18" t="n">
        <v>13650</v>
      </c>
      <c r="H43" s="19">
        <f>IF(OR(G43="",G43=0),"",G43/Tasso_JPY_EUR)</f>
        <v/>
      </c>
      <c r="I43" s="11" t="inlineStr">
        <is>
          <t>Da fare</t>
        </is>
      </c>
      <c r="J43" s="10" t="inlineStr">
        <is>
          <t>SmartEX</t>
        </is>
      </c>
      <c r="K43" s="10" t="inlineStr">
        <is>
          <t>Posto riservato · ~2h40</t>
        </is>
      </c>
    </row>
    <row r="44" ht="30" customHeight="1">
      <c r="A44" s="11" t="n">
        <v>9</v>
      </c>
      <c r="B44" s="9" t="n">
        <v>46327</v>
      </c>
      <c r="C44" s="10" t="inlineStr">
        <is>
          <t>Tokyo</t>
        </is>
      </c>
      <c r="D44" s="10" t="inlineStr">
        <is>
          <t>Tokyo Skytree al tramonto</t>
        </is>
      </c>
      <c r="E44" s="11" t="inlineStr">
        <is>
          <t>Attività</t>
        </is>
      </c>
      <c r="F44" s="11" t="n">
        <v>3</v>
      </c>
      <c r="G44" s="18" t="n">
        <v>2300</v>
      </c>
      <c r="H44" s="19">
        <f>IF(OR(G44="",G44=0),"",G44/Tasso_JPY_EUR)</f>
        <v/>
      </c>
      <c r="I44" s="11" t="inlineStr">
        <is>
          <t>Da fare</t>
        </is>
      </c>
      <c r="J44" s="10" t="inlineStr">
        <is>
          <t>sito ufficiale</t>
        </is>
      </c>
      <c r="K44" s="10" t="inlineStr">
        <is>
          <t>Tramonto ~16:40</t>
        </is>
      </c>
    </row>
    <row r="45" ht="30" customHeight="1">
      <c r="A45" s="11" t="n">
        <v>9</v>
      </c>
      <c r="B45" s="9" t="n">
        <v>46327</v>
      </c>
      <c r="C45" s="10" t="inlineStr">
        <is>
          <t>Tokyo</t>
        </is>
      </c>
      <c r="D45" s="10" t="inlineStr">
        <is>
          <t>Pokemon Center Skytree Town</t>
        </is>
      </c>
      <c r="E45" s="11" t="inlineStr">
        <is>
          <t>Shopping</t>
        </is>
      </c>
      <c r="F45" s="11" t="n">
        <v>4</v>
      </c>
      <c r="G45" s="18" t="n"/>
      <c r="H45" s="19">
        <f>IF(OR(G45="",G45=0),"",G45/Tasso_JPY_EUR)</f>
        <v/>
      </c>
      <c r="I45" s="11" t="inlineStr">
        <is>
          <t>Da fare</t>
        </is>
      </c>
      <c r="J45" s="10" t="inlineStr"/>
      <c r="K45" s="10" t="inlineStr">
        <is>
          <t>Solamachi</t>
        </is>
      </c>
    </row>
    <row r="46" ht="30" customHeight="1">
      <c r="A46" s="11" t="n">
        <v>9</v>
      </c>
      <c r="B46" s="9" t="n">
        <v>46327</v>
      </c>
      <c r="C46" s="10" t="inlineStr">
        <is>
          <t>Tokyo</t>
        </is>
      </c>
      <c r="D46" s="10" t="inlineStr">
        <is>
          <t>Solamachi (cena + shopping)</t>
        </is>
      </c>
      <c r="E46" s="11" t="inlineStr">
        <is>
          <t>Shopping</t>
        </is>
      </c>
      <c r="F46" s="11" t="n">
        <v>3</v>
      </c>
      <c r="G46" s="18" t="n"/>
      <c r="H46" s="19">
        <f>IF(OR(G46="",G46=0),"",G46/Tasso_JPY_EUR)</f>
        <v/>
      </c>
      <c r="I46" s="11" t="inlineStr">
        <is>
          <t>Da fare</t>
        </is>
      </c>
      <c r="J46" s="10" t="inlineStr"/>
      <c r="K46" s="10" t="inlineStr">
        <is>
          <t>Food court</t>
        </is>
      </c>
    </row>
    <row r="47" ht="30" customHeight="1">
      <c r="A47" s="11" t="n">
        <v>10</v>
      </c>
      <c r="B47" s="9" t="n">
        <v>46328</v>
      </c>
      <c r="C47" s="10" t="inlineStr">
        <is>
          <t>Tokyo</t>
        </is>
      </c>
      <c r="D47" s="10" t="inlineStr">
        <is>
          <t>Tempio Senso-ji</t>
        </is>
      </c>
      <c r="E47" s="11" t="inlineStr">
        <is>
          <t>Tempio</t>
        </is>
      </c>
      <c r="F47" s="11" t="n">
        <v>5</v>
      </c>
      <c r="G47" s="18" t="n"/>
      <c r="H47" s="19">
        <f>IF(OR(G47="",G47=0),"",G47/Tasso_JPY_EUR)</f>
        <v/>
      </c>
      <c r="I47" s="11" t="inlineStr">
        <is>
          <t>Da fare</t>
        </is>
      </c>
      <c r="J47" s="10" t="inlineStr"/>
      <c r="K47" s="10" t="inlineStr">
        <is>
          <t>6:30 · gratis · mattina presto</t>
        </is>
      </c>
    </row>
    <row r="48" ht="30" customHeight="1">
      <c r="A48" s="11" t="n">
        <v>10</v>
      </c>
      <c r="B48" s="9" t="n">
        <v>46328</v>
      </c>
      <c r="C48" s="10" t="inlineStr">
        <is>
          <t>Tokyo</t>
        </is>
      </c>
      <c r="D48" s="10" t="inlineStr">
        <is>
          <t>Nakamise-dori</t>
        </is>
      </c>
      <c r="E48" s="11" t="inlineStr">
        <is>
          <t>Shopping</t>
        </is>
      </c>
      <c r="F48" s="11" t="n">
        <v>3</v>
      </c>
      <c r="G48" s="18" t="n"/>
      <c r="H48" s="19">
        <f>IF(OR(G48="",G48=0),"",G48/Tasso_JPY_EUR)</f>
        <v/>
      </c>
      <c r="I48" s="11" t="inlineStr">
        <is>
          <t>Da fare</t>
        </is>
      </c>
      <c r="J48" s="10" t="inlineStr"/>
      <c r="K48" s="10" t="inlineStr">
        <is>
          <t>Via shopping</t>
        </is>
      </c>
    </row>
    <row r="49" ht="30" customHeight="1">
      <c r="A49" s="11" t="n">
        <v>10</v>
      </c>
      <c r="B49" s="9" t="n">
        <v>46328</v>
      </c>
      <c r="C49" s="10" t="inlineStr">
        <is>
          <t>Tokyo</t>
        </is>
      </c>
      <c r="D49" s="10" t="inlineStr">
        <is>
          <t>Akihabara</t>
        </is>
      </c>
      <c r="E49" s="11" t="inlineStr">
        <is>
          <t>Quartiere</t>
        </is>
      </c>
      <c r="F49" s="11" t="n">
        <v>4</v>
      </c>
      <c r="G49" s="18" t="n"/>
      <c r="H49" s="19">
        <f>IF(OR(G49="",G49=0),"",G49/Tasso_JPY_EUR)</f>
        <v/>
      </c>
      <c r="I49" s="11" t="inlineStr">
        <is>
          <t>Da fare</t>
        </is>
      </c>
      <c r="J49" s="10" t="inlineStr"/>
      <c r="K49" s="10" t="inlineStr">
        <is>
          <t>Elettronica, arcade, retrogame ⭐Lorenzo</t>
        </is>
      </c>
    </row>
    <row r="50" ht="30" customHeight="1">
      <c r="A50" s="11" t="n">
        <v>10</v>
      </c>
      <c r="B50" s="9" t="n">
        <v>46328</v>
      </c>
      <c r="C50" s="10" t="inlineStr">
        <is>
          <t>Tokyo</t>
        </is>
      </c>
      <c r="D50" s="10" t="inlineStr">
        <is>
          <t>Ameyoko (Ueno)</t>
        </is>
      </c>
      <c r="E50" s="11" t="inlineStr">
        <is>
          <t>Mercato</t>
        </is>
      </c>
      <c r="F50" s="11" t="n">
        <v>3</v>
      </c>
      <c r="G50" s="18" t="n"/>
      <c r="H50" s="19">
        <f>IF(OR(G50="",G50=0),"",G50/Tasso_JPY_EUR)</f>
        <v/>
      </c>
      <c r="I50" s="11" t="inlineStr">
        <is>
          <t>Da fare</t>
        </is>
      </c>
      <c r="J50" s="10" t="inlineStr"/>
      <c r="K50" s="10" t="inlineStr">
        <is>
          <t>Street food</t>
        </is>
      </c>
    </row>
    <row r="51" ht="30" customHeight="1">
      <c r="A51" s="11" t="n">
        <v>11</v>
      </c>
      <c r="B51" s="9" t="n">
        <v>46329</v>
      </c>
      <c r="C51" s="10" t="inlineStr">
        <is>
          <t>Tokyo</t>
        </is>
      </c>
      <c r="D51" s="10" t="inlineStr">
        <is>
          <t>Sanrio Puroland</t>
        </is>
      </c>
      <c r="E51" s="11" t="inlineStr">
        <is>
          <t>Attività</t>
        </is>
      </c>
      <c r="F51" s="11" t="n">
        <v>4</v>
      </c>
      <c r="G51" s="18" t="n"/>
      <c r="H51" s="19">
        <f>IF(OR(G51="",G51=0),"",G51/Tasso_JPY_EUR)</f>
        <v/>
      </c>
      <c r="I51" s="11" t="inlineStr">
        <is>
          <t>Da fare</t>
        </is>
      </c>
      <c r="J51" s="10" t="inlineStr">
        <is>
          <t>e-Passport/Klook</t>
        </is>
      </c>
      <c r="K51" s="10" t="inlineStr">
        <is>
          <t>Indoor · riserva visita</t>
        </is>
      </c>
    </row>
    <row r="52" ht="30" customHeight="1">
      <c r="A52" s="11" t="n">
        <v>11</v>
      </c>
      <c r="B52" s="9" t="n">
        <v>46329</v>
      </c>
      <c r="C52" s="10" t="inlineStr">
        <is>
          <t>Tokyo</t>
        </is>
      </c>
      <c r="D52" s="10" t="inlineStr">
        <is>
          <t>Sunshine City / Pokemon Center MEGA</t>
        </is>
      </c>
      <c r="E52" s="11" t="inlineStr">
        <is>
          <t>Shopping</t>
        </is>
      </c>
      <c r="F52" s="11" t="n">
        <v>4</v>
      </c>
      <c r="G52" s="18" t="n"/>
      <c r="H52" s="19">
        <f>IF(OR(G52="",G52=0),"",G52/Tasso_JPY_EUR)</f>
        <v/>
      </c>
      <c r="I52" s="11" t="inlineStr">
        <is>
          <t>Da fare</t>
        </is>
      </c>
      <c r="J52" s="10" t="inlineStr"/>
      <c r="K52" s="10" t="inlineStr">
        <is>
          <t>Il più grande</t>
        </is>
      </c>
    </row>
    <row r="53" ht="30" customHeight="1">
      <c r="A53" s="11" t="n">
        <v>11</v>
      </c>
      <c r="B53" s="9" t="n">
        <v>46329</v>
      </c>
      <c r="C53" s="10" t="inlineStr">
        <is>
          <t>Tokyo</t>
        </is>
      </c>
      <c r="D53" s="10" t="inlineStr">
        <is>
          <t>Animate Ikebukuro</t>
        </is>
      </c>
      <c r="E53" s="11" t="inlineStr">
        <is>
          <t>Shopping</t>
        </is>
      </c>
      <c r="F53" s="11" t="n">
        <v>4</v>
      </c>
      <c r="G53" s="18" t="n"/>
      <c r="H53" s="19">
        <f>IF(OR(G53="",G53=0),"",G53/Tasso_JPY_EUR)</f>
        <v/>
      </c>
      <c r="I53" s="11" t="inlineStr">
        <is>
          <t>Da fare</t>
        </is>
      </c>
      <c r="J53" s="10" t="inlineStr"/>
      <c r="K53" s="10" t="inlineStr">
        <is>
          <t>Flagship anime · Otome Road</t>
        </is>
      </c>
    </row>
    <row r="54" ht="30" customHeight="1">
      <c r="A54" s="11" t="n">
        <v>12</v>
      </c>
      <c r="B54" s="9" t="n">
        <v>46330</v>
      </c>
      <c r="C54" s="10" t="inlineStr">
        <is>
          <t>Tokyo</t>
        </is>
      </c>
      <c r="D54" s="10" t="inlineStr">
        <is>
          <t>Santuario Meiji</t>
        </is>
      </c>
      <c r="E54" s="11" t="inlineStr">
        <is>
          <t>Tempio</t>
        </is>
      </c>
      <c r="F54" s="11" t="n">
        <v>3</v>
      </c>
      <c r="G54" s="18" t="n"/>
      <c r="H54" s="19">
        <f>IF(OR(G54="",G54=0),"",G54/Tasso_JPY_EUR)</f>
        <v/>
      </c>
      <c r="I54" s="11" t="inlineStr">
        <is>
          <t>Da fare</t>
        </is>
      </c>
      <c r="J54" s="10" t="inlineStr"/>
      <c r="K54" s="10" t="inlineStr">
        <is>
          <t>10:00–16:30 · gratis</t>
        </is>
      </c>
    </row>
    <row r="55" ht="30" customHeight="1">
      <c r="A55" s="11" t="n">
        <v>12</v>
      </c>
      <c r="B55" s="9" t="n">
        <v>46330</v>
      </c>
      <c r="C55" s="10" t="inlineStr">
        <is>
          <t>Tokyo</t>
        </is>
      </c>
      <c r="D55" s="10" t="inlineStr">
        <is>
          <t>Harajuku (Takeshita Street)</t>
        </is>
      </c>
      <c r="E55" s="11" t="inlineStr">
        <is>
          <t>Quartiere</t>
        </is>
      </c>
      <c r="F55" s="11" t="n">
        <v>2</v>
      </c>
      <c r="G55" s="18" t="n"/>
      <c r="H55" s="19">
        <f>IF(OR(G55="",G55=0),"",G55/Tasso_JPY_EUR)</f>
        <v/>
      </c>
      <c r="I55" s="11" t="inlineStr">
        <is>
          <t>Da fare</t>
        </is>
      </c>
      <c r="J55" s="10" t="inlineStr"/>
      <c r="K55" s="10" t="inlineStr">
        <is>
          <t>Moda kawaii</t>
        </is>
      </c>
    </row>
    <row r="56" ht="30" customHeight="1">
      <c r="A56" s="11" t="n">
        <v>12</v>
      </c>
      <c r="B56" s="9" t="n">
        <v>46330</v>
      </c>
      <c r="C56" s="10" t="inlineStr">
        <is>
          <t>Tokyo</t>
        </is>
      </c>
      <c r="D56" s="10" t="inlineStr">
        <is>
          <t>Nakano Broadway ⭐Lorenzo</t>
        </is>
      </c>
      <c r="E56" s="11" t="inlineStr">
        <is>
          <t>Shopping</t>
        </is>
      </c>
      <c r="F56" s="11" t="n">
        <v>5</v>
      </c>
      <c r="G56" s="18" t="n"/>
      <c r="H56" s="19">
        <f>IF(OR(G56="",G56=0),"",G56/Tasso_JPY_EUR)</f>
        <v/>
      </c>
      <c r="I56" s="11" t="inlineStr">
        <is>
          <t>Da fare</t>
        </is>
      </c>
      <c r="J56" s="10" t="inlineStr"/>
      <c r="K56" s="10" t="inlineStr">
        <is>
          <t>Collezionismo vintage · Mandarake</t>
        </is>
      </c>
    </row>
    <row r="57" ht="30" customHeight="1">
      <c r="A57" s="11" t="n">
        <v>12</v>
      </c>
      <c r="B57" s="9" t="n">
        <v>46330</v>
      </c>
      <c r="C57" s="10" t="inlineStr">
        <is>
          <t>Tokyo</t>
        </is>
      </c>
      <c r="D57" s="10" t="inlineStr">
        <is>
          <t>Shinjuku</t>
        </is>
      </c>
      <c r="E57" s="11" t="inlineStr">
        <is>
          <t>Quartiere</t>
        </is>
      </c>
      <c r="F57" s="11" t="n">
        <v>4</v>
      </c>
      <c r="G57" s="18" t="n"/>
      <c r="H57" s="19">
        <f>IF(OR(G57="",G57=0),"",G57/Tasso_JPY_EUR)</f>
        <v/>
      </c>
      <c r="I57" s="11" t="inlineStr">
        <is>
          <t>Da fare</t>
        </is>
      </c>
      <c r="J57" s="10" t="inlineStr"/>
      <c r="K57" s="10" t="inlineStr">
        <is>
          <t>Omoide Yokocho · osservatorio</t>
        </is>
      </c>
    </row>
    <row r="58" ht="30" customHeight="1">
      <c r="A58" s="11" t="n">
        <v>12</v>
      </c>
      <c r="B58" s="9" t="n">
        <v>46330</v>
      </c>
      <c r="C58" s="10" t="inlineStr">
        <is>
          <t>Tokyo</t>
        </is>
      </c>
      <c r="D58" s="10" t="inlineStr">
        <is>
          <t>Shibuya Crossing</t>
        </is>
      </c>
      <c r="E58" s="11" t="inlineStr">
        <is>
          <t>Quartiere</t>
        </is>
      </c>
      <c r="F58" s="11" t="n">
        <v>5</v>
      </c>
      <c r="G58" s="18" t="n"/>
      <c r="H58" s="19">
        <f>IF(OR(G58="",G58=0),"",G58/Tasso_JPY_EUR)</f>
        <v/>
      </c>
      <c r="I58" s="11" t="inlineStr">
        <is>
          <t>Da fare</t>
        </is>
      </c>
      <c r="J58" s="10" t="inlineStr"/>
      <c r="K58" s="10" t="inlineStr">
        <is>
          <t>Attraversamento più famoso</t>
        </is>
      </c>
    </row>
    <row r="59" ht="30" customHeight="1">
      <c r="A59" s="11" t="n">
        <v>12</v>
      </c>
      <c r="B59" s="9" t="n">
        <v>46330</v>
      </c>
      <c r="C59" s="10" t="inlineStr">
        <is>
          <t>Tokyo</t>
        </is>
      </c>
      <c r="D59" s="10" t="inlineStr">
        <is>
          <t>Shibuya Sky ⭐Rebecca</t>
        </is>
      </c>
      <c r="E59" s="11" t="inlineStr">
        <is>
          <t>Attività</t>
        </is>
      </c>
      <c r="F59" s="11" t="n">
        <v>4</v>
      </c>
      <c r="G59" s="18" t="n">
        <v>3400</v>
      </c>
      <c r="H59" s="19">
        <f>IF(OR(G59="",G59=0),"",G59/Tasso_JPY_EUR)</f>
        <v/>
      </c>
      <c r="I59" s="11" t="inlineStr">
        <is>
          <t>Opzionale</t>
        </is>
      </c>
      <c r="J59" s="10" t="inlineStr">
        <is>
          <t>shibuya-sky.com</t>
        </is>
      </c>
      <c r="K59" s="10" t="inlineStr">
        <is>
          <t>Slot tramonto · prenotare 21/10</t>
        </is>
      </c>
    </row>
    <row r="60" ht="30" customHeight="1">
      <c r="A60" s="11" t="n">
        <v>12</v>
      </c>
      <c r="B60" s="9" t="n">
        <v>46330</v>
      </c>
      <c r="C60" s="10" t="inlineStr">
        <is>
          <t>Tokyo</t>
        </is>
      </c>
      <c r="D60" s="10" t="inlineStr">
        <is>
          <t>Pokemon Center Shibuya</t>
        </is>
      </c>
      <c r="E60" s="11" t="inlineStr">
        <is>
          <t>Shopping</t>
        </is>
      </c>
      <c r="F60" s="11" t="n">
        <v>5</v>
      </c>
      <c r="G60" s="18" t="n"/>
      <c r="H60" s="19">
        <f>IF(OR(G60="",G60=0),"",G60/Tasso_JPY_EUR)</f>
        <v/>
      </c>
      <c r="I60" s="11" t="inlineStr">
        <is>
          <t>Da fare</t>
        </is>
      </c>
      <c r="J60" s="10" t="inlineStr"/>
      <c r="K60" s="10" t="inlineStr">
        <is>
          <t>Merch esclusivo · Nintendo Tokyo</t>
        </is>
      </c>
    </row>
    <row r="61" ht="30" customHeight="1">
      <c r="A61" s="11" t="n">
        <v>13</v>
      </c>
      <c r="B61" s="9" t="n">
        <v>46331</v>
      </c>
      <c r="C61" s="10" t="inlineStr">
        <is>
          <t>Tokyo</t>
        </is>
      </c>
      <c r="D61" s="10" t="inlineStr">
        <is>
          <t>Akihabara deep dive</t>
        </is>
      </c>
      <c r="E61" s="11" t="inlineStr">
        <is>
          <t>Quartiere</t>
        </is>
      </c>
      <c r="F61" s="11" t="n">
        <v>4</v>
      </c>
      <c r="G61" s="18" t="n"/>
      <c r="H61" s="19">
        <f>IF(OR(G61="",G61=0),"",G61/Tasso_JPY_EUR)</f>
        <v/>
      </c>
      <c r="I61" s="11" t="inlineStr">
        <is>
          <t>Da fare</t>
        </is>
      </c>
      <c r="J61" s="10" t="inlineStr"/>
      <c r="K61" s="10" t="inlineStr">
        <is>
          <t>Improvvisazione ⭐Lorenzo</t>
        </is>
      </c>
    </row>
    <row r="62" ht="30" customHeight="1">
      <c r="A62" s="11" t="n">
        <v>13</v>
      </c>
      <c r="B62" s="9" t="n">
        <v>46331</v>
      </c>
      <c r="C62" s="10" t="inlineStr">
        <is>
          <t>Tokyo</t>
        </is>
      </c>
      <c r="D62" s="10" t="inlineStr">
        <is>
          <t>Tokyo Tower al tramonto</t>
        </is>
      </c>
      <c r="E62" s="11" t="inlineStr">
        <is>
          <t>Attività</t>
        </is>
      </c>
      <c r="F62" s="11" t="n">
        <v>4</v>
      </c>
      <c r="G62" s="18" t="n">
        <v>1500</v>
      </c>
      <c r="H62" s="19">
        <f>IF(OR(G62="",G62=0),"",G62/Tasso_JPY_EUR)</f>
        <v/>
      </c>
      <c r="I62" s="11" t="inlineStr">
        <is>
          <t>Opzionale</t>
        </is>
      </c>
      <c r="J62" s="10" t="inlineStr">
        <is>
          <t>cassa/online</t>
        </is>
      </c>
      <c r="K62" s="10" t="inlineStr">
        <is>
          <t>Tramonto ~16:40</t>
        </is>
      </c>
    </row>
    <row r="63" ht="30" customHeight="1">
      <c r="A63" s="11" t="n">
        <v>14</v>
      </c>
      <c r="B63" s="9" t="n">
        <v>46332</v>
      </c>
      <c r="C63" s="10" t="inlineStr">
        <is>
          <t>Tokyo → Roma</t>
        </is>
      </c>
      <c r="D63" s="10" t="inlineStr">
        <is>
          <t>Keikyu Asakusa→HND</t>
        </is>
      </c>
      <c r="E63" s="11" t="inlineStr">
        <is>
          <t>Trasporto</t>
        </is>
      </c>
      <c r="F63" s="11" t="n">
        <v>3</v>
      </c>
      <c r="G63" s="18" t="n">
        <v>600</v>
      </c>
      <c r="H63" s="19">
        <f>IF(OR(G63="",G63=0),"",G63/Tasso_JPY_EUR)</f>
        <v/>
      </c>
      <c r="I63" s="11" t="inlineStr">
        <is>
          <t>Da fare</t>
        </is>
      </c>
      <c r="J63" s="10" t="inlineStr"/>
      <c r="K63" s="10" t="inlineStr">
        <is>
          <t>~50 min</t>
        </is>
      </c>
    </row>
    <row r="64" ht="30" customHeight="1">
      <c r="A64" s="11" t="n">
        <v>14</v>
      </c>
      <c r="B64" s="9" t="n">
        <v>46332</v>
      </c>
      <c r="C64" s="10" t="inlineStr">
        <is>
          <t>Tokyo → Roma</t>
        </is>
      </c>
      <c r="D64" s="10" t="inlineStr">
        <is>
          <t>Volo MU576 + MU787 HND→FCO</t>
        </is>
      </c>
      <c r="E64" s="11" t="inlineStr">
        <is>
          <t>Trasporto</t>
        </is>
      </c>
      <c r="F64" s="11" t="n">
        <v>5</v>
      </c>
      <c r="G64" s="18" t="n"/>
      <c r="H64" s="19">
        <f>IF(OR(G64="",G64=0),"",G64/Tasso_JPY_EUR)</f>
        <v/>
      </c>
      <c r="I64" s="11" t="inlineStr">
        <is>
          <t>Da fare</t>
        </is>
      </c>
      <c r="J64" s="10" t="inlineStr">
        <is>
          <t>China Eastern</t>
        </is>
      </c>
      <c r="K64" s="10" t="inlineStr">
        <is>
          <t>Partenza 08:40 · arrivo 18:15</t>
        </is>
      </c>
    </row>
    <row r="65">
      <c r="A65" s="16" t="n"/>
      <c r="B65" s="16" t="n"/>
      <c r="C65" s="15" t="inlineStr">
        <is>
          <t>TOTALE (attività a pagamento)</t>
        </is>
      </c>
      <c r="D65" s="16" t="n"/>
      <c r="E65" s="16" t="n"/>
      <c r="F65" s="16" t="n"/>
      <c r="G65" s="16" t="n"/>
      <c r="H65" s="17">
        <f>SUM(H5:H64)</f>
        <v/>
      </c>
      <c r="I65" s="16" t="n"/>
      <c r="J65" s="16" t="n"/>
      <c r="K65" s="16" t="n"/>
    </row>
  </sheetData>
  <mergeCells count="2">
    <mergeCell ref="A2:K2"/>
    <mergeCell ref="A1:K1"/>
  </mergeCells>
  <conditionalFormatting sqref="F5:F64">
    <cfRule type="colorScale" priority="1">
      <colorScale>
        <cfvo type="num" val="1"/>
        <cfvo type="num" val="3"/>
        <cfvo type="num" val="5"/>
        <color rgb="00ECEFF1"/>
        <color rgb="00F8BBD0"/>
        <color rgb="00D94F79"/>
      </colorScale>
    </cfRule>
  </conditionalFormatting>
  <conditionalFormatting sqref="I5:I64">
    <cfRule type="cellIs" priority="2" operator="equal" dxfId="0">
      <formula>"Da fare"</formula>
    </cfRule>
    <cfRule type="cellIs" priority="3" operator="equal" dxfId="1">
      <formula>"Fatto"</formula>
    </cfRule>
    <cfRule type="cellIs" priority="4" operator="equal" dxfId="2">
      <formula>"Saltato"</formula>
    </cfRule>
    <cfRule type="cellIs" priority="5" operator="equal" dxfId="3">
      <formula>"Opzionale"</formula>
    </cfRule>
  </conditionalFormatting>
  <dataValidations count="1">
    <dataValidation sqref="I5:I64" showDropDown="0" showInputMessage="0" showErrorMessage="0" allowBlank="1" type="list">
      <formula1>=ListaStatiAtt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6A8B"/>
    <outlinePr summaryBelow="1" summaryRight="1"/>
    <pageSetUpPr/>
  </sheetPr>
  <dimension ref="A1:Q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20" customWidth="1" min="4" max="4"/>
    <col width="12" customWidth="1" min="5" max="5"/>
    <col width="9" customWidth="1" min="6" max="6"/>
    <col width="24" customWidth="1" min="7" max="7"/>
    <col width="10" customWidth="1" min="8" max="8"/>
    <col width="7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8" customWidth="1" min="15" max="15"/>
    <col width="10" customWidth="1" min="16" max="16"/>
    <col width="44" customWidth="1" min="17" max="17"/>
  </cols>
  <sheetData>
    <row r="1" ht="38" customHeight="1">
      <c r="A1" s="1" t="inlineStr">
        <is>
          <t>PRENOTAZIONI — Tracker prenotazioni &amp; scadenze</t>
        </is>
      </c>
    </row>
    <row r="2" ht="18" customHeight="1">
      <c r="A2" s="2" t="inlineStr">
        <is>
          <t>Tutto cio' che va prenotato/acquistato. I giorni rimanenti si aggiornano da soli (TODAY).</t>
        </is>
      </c>
    </row>
    <row r="4" ht="30" customHeight="1">
      <c r="A4" s="8" t="inlineStr">
        <is>
          <t>Voce</t>
        </is>
      </c>
      <c r="B4" s="8" t="inlineStr">
        <is>
          <t>Categoria</t>
        </is>
      </c>
      <c r="C4" s="8" t="inlineStr">
        <is>
          <t>Data/Giorno</t>
        </is>
      </c>
      <c r="D4" s="8" t="inlineStr">
        <is>
          <t>Finestra apertura</t>
        </is>
      </c>
      <c r="E4" s="8" t="inlineStr">
        <is>
          <t>Scadenza</t>
        </is>
      </c>
      <c r="F4" s="8" t="inlineStr">
        <is>
          <t>Giorni</t>
        </is>
      </c>
      <c r="G4" s="8" t="inlineStr">
        <is>
          <t>Canale</t>
        </is>
      </c>
      <c r="H4" s="8" t="inlineStr">
        <is>
          <t>Importo</t>
        </is>
      </c>
      <c r="I4" s="8" t="inlineStr">
        <is>
          <t>Valuta</t>
        </is>
      </c>
      <c r="J4" s="8" t="inlineStr">
        <is>
          <t>Tipo</t>
        </is>
      </c>
      <c r="K4" s="8" t="inlineStr">
        <is>
          <t>Importo unit. €</t>
        </is>
      </c>
      <c r="L4" s="8" t="inlineStr">
        <is>
          <t>Importo tot. €</t>
        </is>
      </c>
      <c r="M4" s="8" t="inlineStr">
        <is>
          <t>Importo/pax €</t>
        </is>
      </c>
      <c r="N4" s="8" t="inlineStr">
        <is>
          <t>Stato</t>
        </is>
      </c>
      <c r="O4" s="8" t="inlineStr">
        <is>
          <t>Codice conferma</t>
        </is>
      </c>
      <c r="P4" s="8" t="inlineStr">
        <is>
          <t>Priorità</t>
        </is>
      </c>
      <c r="Q4" s="8" t="inlineStr">
        <is>
          <t>Note</t>
        </is>
      </c>
    </row>
    <row r="5" ht="26" customHeight="1">
      <c r="A5" s="10" t="inlineStr">
        <is>
          <t>Voli A/R China Eastern (open-jaw)</t>
        </is>
      </c>
      <c r="B5" s="11" t="inlineStr">
        <is>
          <t>Voli</t>
        </is>
      </c>
      <c r="C5" s="10" t="inlineStr">
        <is>
          <t>23 ott / 6 nov</t>
        </is>
      </c>
      <c r="D5" s="10" t="inlineStr">
        <is>
          <t>—</t>
        </is>
      </c>
      <c r="E5" s="9" t="n"/>
      <c r="F5" s="12">
        <f>IF(E5="","",E5-TODAY())</f>
        <v/>
      </c>
      <c r="G5" s="10" t="inlineStr">
        <is>
          <t>China Eastern</t>
        </is>
      </c>
      <c r="H5" s="20" t="n">
        <v>1096.33</v>
      </c>
      <c r="I5" s="11" t="inlineStr">
        <is>
          <t>EUR</t>
        </is>
      </c>
      <c r="J5" s="11" t="inlineStr">
        <is>
          <t>A testa</t>
        </is>
      </c>
      <c r="K5" s="13">
        <f>IF(H5="","",IF(UPPER(I5)="JPY",H5/Tasso_JPY_EUR,H5))</f>
        <v/>
      </c>
      <c r="L5" s="13">
        <f>IF(H5="","",K5*IF(LEFT(UPPER(J5),1)="A",N_Persone,1))</f>
        <v/>
      </c>
      <c r="M5" s="13">
        <f>IF(H5="","",IF(LEFT(UPPER(J5),1)="A",K5,K5/N_Persone))</f>
        <v/>
      </c>
      <c r="N5" s="11" t="inlineStr">
        <is>
          <t>Pagato</t>
        </is>
      </c>
      <c r="O5" s="10" t="inlineStr"/>
      <c r="P5" s="11" t="inlineStr">
        <is>
          <t>Alta</t>
        </is>
      </c>
      <c r="Q5" s="10" t="inlineStr">
        <is>
          <t>FCO→KIX + HND→FCO · tot 3.289 € · ordine 09/08/26</t>
        </is>
      </c>
    </row>
    <row r="6" ht="26" customHeight="1">
      <c r="A6" s="10" t="inlineStr">
        <is>
          <t>Alloggio KURA Hotel Izumisano</t>
        </is>
      </c>
      <c r="B6" s="11" t="inlineStr">
        <is>
          <t>Alloggio</t>
        </is>
      </c>
      <c r="C6" s="10" t="inlineStr">
        <is>
          <t>24–25 ott</t>
        </is>
      </c>
      <c r="D6" s="10" t="inlineStr">
        <is>
          <t>—</t>
        </is>
      </c>
      <c r="E6" s="9" t="n"/>
      <c r="F6" s="12">
        <f>IF(E6="","",E6-TODAY())</f>
        <v/>
      </c>
      <c r="G6" s="10" t="inlineStr">
        <is>
          <t>Booking.com</t>
        </is>
      </c>
      <c r="H6" s="20" t="n">
        <v>26.67</v>
      </c>
      <c r="I6" s="11" t="inlineStr">
        <is>
          <t>EUR</t>
        </is>
      </c>
      <c r="J6" s="11" t="inlineStr">
        <is>
          <t>A testa</t>
        </is>
      </c>
      <c r="K6" s="13">
        <f>IF(H6="","",IF(UPPER(I6)="JPY",H6/Tasso_JPY_EUR,H6))</f>
        <v/>
      </c>
      <c r="L6" s="13">
        <f>IF(H6="","",K6*IF(LEFT(UPPER(J6),1)="A",N_Persone,1))</f>
        <v/>
      </c>
      <c r="M6" s="13">
        <f>IF(H6="","",IF(LEFT(UPPER(J6),1)="A",K6,K6/N_Persone))</f>
        <v/>
      </c>
      <c r="N6" s="11" t="inlineStr">
        <is>
          <t>Pagato</t>
        </is>
      </c>
      <c r="O6" s="10" t="inlineStr"/>
      <c r="P6" s="11" t="inlineStr">
        <is>
          <t>Alta</t>
        </is>
      </c>
      <c r="Q6" s="10" t="inlineStr">
        <is>
          <t>Self check-in · kitchenette</t>
        </is>
      </c>
    </row>
    <row r="7" ht="26" customHeight="1">
      <c r="A7" s="10" t="inlineStr">
        <is>
          <t>Alloggio Hanazonocho Apartment 103 (Osaka)</t>
        </is>
      </c>
      <c r="B7" s="11" t="inlineStr">
        <is>
          <t>Alloggio</t>
        </is>
      </c>
      <c r="C7" s="10" t="inlineStr">
        <is>
          <t>25–29 ott</t>
        </is>
      </c>
      <c r="D7" s="10" t="inlineStr">
        <is>
          <t>—</t>
        </is>
      </c>
      <c r="E7" s="9" t="n"/>
      <c r="F7" s="12">
        <f>IF(E7="","",E7-TODAY())</f>
        <v/>
      </c>
      <c r="G7" s="10" t="inlineStr">
        <is>
          <t>Booking.com / Airbnb</t>
        </is>
      </c>
      <c r="H7" s="20" t="n">
        <v>74.33</v>
      </c>
      <c r="I7" s="11" t="inlineStr">
        <is>
          <t>EUR</t>
        </is>
      </c>
      <c r="J7" s="11" t="inlineStr">
        <is>
          <t>A testa</t>
        </is>
      </c>
      <c r="K7" s="13">
        <f>IF(H7="","",IF(UPPER(I7)="JPY",H7/Tasso_JPY_EUR,H7))</f>
        <v/>
      </c>
      <c r="L7" s="13">
        <f>IF(H7="","",K7*IF(LEFT(UPPER(J7),1)="A",N_Persone,1))</f>
        <v/>
      </c>
      <c r="M7" s="13">
        <f>IF(H7="","",IF(LEFT(UPPER(J7),1)="A",K7,K7/N_Persone))</f>
        <v/>
      </c>
      <c r="N7" s="11" t="inlineStr">
        <is>
          <t>Pagato</t>
        </is>
      </c>
      <c r="O7" s="10" t="inlineStr"/>
      <c r="P7" s="11" t="inlineStr">
        <is>
          <t>Alta</t>
        </is>
      </c>
      <c r="Q7" s="10" t="inlineStr">
        <is>
          <t>Angolo cottura · metro 1 min</t>
        </is>
      </c>
    </row>
    <row r="8" ht="26" customHeight="1">
      <c r="A8" s="10" t="inlineStr">
        <is>
          <t>Alloggio Miro Kyoto Nijo Hotel</t>
        </is>
      </c>
      <c r="B8" s="11" t="inlineStr">
        <is>
          <t>Alloggio</t>
        </is>
      </c>
      <c r="C8" s="10" t="inlineStr">
        <is>
          <t>29 ott–1 nov</t>
        </is>
      </c>
      <c r="D8" s="10" t="inlineStr">
        <is>
          <t>—</t>
        </is>
      </c>
      <c r="E8" s="9" t="n"/>
      <c r="F8" s="12">
        <f>IF(E8="","",E8-TODAY())</f>
        <v/>
      </c>
      <c r="G8" s="10" t="inlineStr">
        <is>
          <t>Booking.com</t>
        </is>
      </c>
      <c r="H8" s="20" t="n">
        <v>85.72</v>
      </c>
      <c r="I8" s="11" t="inlineStr">
        <is>
          <t>EUR</t>
        </is>
      </c>
      <c r="J8" s="11" t="inlineStr">
        <is>
          <t>A testa</t>
        </is>
      </c>
      <c r="K8" s="13">
        <f>IF(H8="","",IF(UPPER(I8)="JPY",H8/Tasso_JPY_EUR,H8))</f>
        <v/>
      </c>
      <c r="L8" s="13">
        <f>IF(H8="","",K8*IF(LEFT(UPPER(J8),1)="A",N_Persone,1))</f>
        <v/>
      </c>
      <c r="M8" s="13">
        <f>IF(H8="","",IF(LEFT(UPPER(J8),1)="A",K8,K8/N_Persone))</f>
        <v/>
      </c>
      <c r="N8" s="11" t="inlineStr">
        <is>
          <t>Pagato</t>
        </is>
      </c>
      <c r="O8" s="10" t="inlineStr"/>
      <c r="P8" s="11" t="inlineStr">
        <is>
          <t>Alta</t>
        </is>
      </c>
      <c r="Q8" s="10" t="inlineStr">
        <is>
          <t>Cucina attrezzata · tel +81-50-5444-6620</t>
        </is>
      </c>
    </row>
    <row r="9" ht="26" customHeight="1">
      <c r="A9" s="10" t="inlineStr">
        <is>
          <t>Alloggio Taito City Guesthouse (Tokyo)</t>
        </is>
      </c>
      <c r="B9" s="11" t="inlineStr">
        <is>
          <t>Alloggio</t>
        </is>
      </c>
      <c r="C9" s="10" t="inlineStr">
        <is>
          <t>1–6 nov</t>
        </is>
      </c>
      <c r="D9" s="10" t="inlineStr">
        <is>
          <t>—</t>
        </is>
      </c>
      <c r="E9" s="9" t="n"/>
      <c r="F9" s="12">
        <f>IF(E9="","",E9-TODAY())</f>
        <v/>
      </c>
      <c r="G9" s="10" t="inlineStr">
        <is>
          <t>Booking.com</t>
        </is>
      </c>
      <c r="H9" s="20" t="n">
        <v>173.17</v>
      </c>
      <c r="I9" s="11" t="inlineStr">
        <is>
          <t>EUR</t>
        </is>
      </c>
      <c r="J9" s="11" t="inlineStr">
        <is>
          <t>A testa</t>
        </is>
      </c>
      <c r="K9" s="13">
        <f>IF(H9="","",IF(UPPER(I9)="JPY",H9/Tasso_JPY_EUR,H9))</f>
        <v/>
      </c>
      <c r="L9" s="13">
        <f>IF(H9="","",K9*IF(LEFT(UPPER(J9),1)="A",N_Persone,1))</f>
        <v/>
      </c>
      <c r="M9" s="13">
        <f>IF(H9="","",IF(LEFT(UPPER(J9),1)="A",K9,K9/N_Persone))</f>
        <v/>
      </c>
      <c r="N9" s="11" t="inlineStr">
        <is>
          <t>Pagato</t>
        </is>
      </c>
      <c r="O9" s="10" t="inlineStr"/>
      <c r="P9" s="11" t="inlineStr">
        <is>
          <t>Alta</t>
        </is>
      </c>
      <c r="Q9" s="10" t="inlineStr">
        <is>
          <t>Cucina condivisa 1° piano · confermare ricezione bagagli</t>
        </is>
      </c>
    </row>
    <row r="10" ht="26" customHeight="1">
      <c r="A10" s="10" t="inlineStr">
        <is>
          <t>Universal Studios Japan (1-day + SNW + voucher)</t>
        </is>
      </c>
      <c r="B10" s="11" t="inlineStr">
        <is>
          <t>Ingressi/Attività</t>
        </is>
      </c>
      <c r="C10" s="10" t="inlineStr">
        <is>
          <t>27 ott</t>
        </is>
      </c>
      <c r="D10" s="10" t="inlineStr">
        <is>
          <t>—</t>
        </is>
      </c>
      <c r="E10" s="9" t="n"/>
      <c r="F10" s="12">
        <f>IF(E10="","",E10-TODAY())</f>
        <v/>
      </c>
      <c r="G10" s="10" t="inlineStr">
        <is>
          <t>Klook / ufficiale</t>
        </is>
      </c>
      <c r="H10" s="20" t="n">
        <v>88.25</v>
      </c>
      <c r="I10" s="11" t="inlineStr">
        <is>
          <t>EUR</t>
        </is>
      </c>
      <c r="J10" s="11" t="inlineStr">
        <is>
          <t>A testa</t>
        </is>
      </c>
      <c r="K10" s="13">
        <f>IF(H10="","",IF(UPPER(I10)="JPY",H10/Tasso_JPY_EUR,H10))</f>
        <v/>
      </c>
      <c r="L10" s="13">
        <f>IF(H10="","",K10*IF(LEFT(UPPER(J10),1)="A",N_Persone,1))</f>
        <v/>
      </c>
      <c r="M10" s="13">
        <f>IF(H10="","",IF(LEFT(UPPER(J10),1)="A",K10,K10/N_Persone))</f>
        <v/>
      </c>
      <c r="N10" s="11" t="inlineStr">
        <is>
          <t>Prenotato</t>
        </is>
      </c>
      <c r="O10" s="10" t="inlineStr"/>
      <c r="P10" s="11" t="inlineStr">
        <is>
          <t>Alta</t>
        </is>
      </c>
      <c r="Q10" s="10" t="inlineStr">
        <is>
          <t>Acquistato 05/09 · portare QR · Express Pass non incluso</t>
        </is>
      </c>
    </row>
    <row r="11" ht="26" customHeight="1">
      <c r="A11" s="10" t="inlineStr">
        <is>
          <t>Sanrio Puroland (Day Passport + riserva)</t>
        </is>
      </c>
      <c r="B11" s="11" t="inlineStr">
        <is>
          <t>Ingressi/Attività</t>
        </is>
      </c>
      <c r="C11" s="10" t="inlineStr">
        <is>
          <t>3 nov</t>
        </is>
      </c>
      <c r="D11" s="10" t="inlineStr">
        <is>
          <t>—</t>
        </is>
      </c>
      <c r="E11" s="9" t="n"/>
      <c r="F11" s="12">
        <f>IF(E11="","",E11-TODAY())</f>
        <v/>
      </c>
      <c r="G11" s="10" t="inlineStr">
        <is>
          <t>e-Passport / Klook</t>
        </is>
      </c>
      <c r="H11" s="20" t="n">
        <v>19.97</v>
      </c>
      <c r="I11" s="11" t="inlineStr">
        <is>
          <t>EUR</t>
        </is>
      </c>
      <c r="J11" s="11" t="inlineStr">
        <is>
          <t>A testa</t>
        </is>
      </c>
      <c r="K11" s="13">
        <f>IF(H11="","",IF(UPPER(I11)="JPY",H11/Tasso_JPY_EUR,H11))</f>
        <v/>
      </c>
      <c r="L11" s="13">
        <f>IF(H11="","",K11*IF(LEFT(UPPER(J11),1)="A",N_Persone,1))</f>
        <v/>
      </c>
      <c r="M11" s="13">
        <f>IF(H11="","",IF(LEFT(UPPER(J11),1)="A",K11,K11/N_Persone))</f>
        <v/>
      </c>
      <c r="N11" s="11" t="inlineStr">
        <is>
          <t>Prenotato</t>
        </is>
      </c>
      <c r="O11" s="10" t="inlineStr"/>
      <c r="P11" s="11" t="inlineStr">
        <is>
          <t>Alta</t>
        </is>
      </c>
      <c r="Q11" s="10" t="inlineStr">
        <is>
          <t>Prenotato 09/09 · annotare n. conferma/orario · chiuso 4-5 nov</t>
        </is>
      </c>
    </row>
    <row r="12" ht="26" customHeight="1">
      <c r="A12" s="10" t="inlineStr">
        <is>
          <t>Assicurazione sanitaria</t>
        </is>
      </c>
      <c r="B12" s="11" t="inlineStr">
        <is>
          <t>Assicurazione</t>
        </is>
      </c>
      <c r="C12" s="10" t="inlineStr">
        <is>
          <t>—</t>
        </is>
      </c>
      <c r="D12" s="10" t="inlineStr">
        <is>
          <t>—</t>
        </is>
      </c>
      <c r="E12" s="9" t="n"/>
      <c r="F12" s="12">
        <f>IF(E12="","",E12-TODAY())</f>
        <v/>
      </c>
      <c r="G12" s="10" t="inlineStr">
        <is>
          <t>Heymondo (da confermare)</t>
        </is>
      </c>
      <c r="H12" s="20" t="n">
        <v>53.43</v>
      </c>
      <c r="I12" s="11" t="inlineStr">
        <is>
          <t>EUR</t>
        </is>
      </c>
      <c r="J12" s="11" t="inlineStr">
        <is>
          <t>A testa</t>
        </is>
      </c>
      <c r="K12" s="13">
        <f>IF(H12="","",IF(UPPER(I12)="JPY",H12/Tasso_JPY_EUR,H12))</f>
        <v/>
      </c>
      <c r="L12" s="13">
        <f>IF(H12="","",K12*IF(LEFT(UPPER(J12),1)="A",N_Persone,1))</f>
        <v/>
      </c>
      <c r="M12" s="13">
        <f>IF(H12="","",IF(LEFT(UPPER(J12),1)="A",K12,K12/N_Persone))</f>
        <v/>
      </c>
      <c r="N12" s="11" t="inlineStr">
        <is>
          <t>Prenotato</t>
        </is>
      </c>
      <c r="O12" s="10" t="inlineStr"/>
      <c r="P12" s="11" t="inlineStr">
        <is>
          <t>Alta</t>
        </is>
      </c>
      <c r="Q12" s="10" t="inlineStr">
        <is>
          <t>Annotare provider + n. polizza · copertura allergie Rebecca da verificare</t>
        </is>
      </c>
    </row>
    <row r="13" ht="26" customHeight="1">
      <c r="A13" s="10" t="inlineStr">
        <is>
          <t>JR Kansai-Hiroshima Area Pass (5gg)</t>
        </is>
      </c>
      <c r="B13" s="11" t="inlineStr">
        <is>
          <t>Trasporti</t>
        </is>
      </c>
      <c r="C13" s="10" t="inlineStr">
        <is>
          <t>attivo 28 ott</t>
        </is>
      </c>
      <c r="D13" s="10" t="inlineStr">
        <is>
          <t>28 set 10:00 JST</t>
        </is>
      </c>
      <c r="E13" s="9" t="n">
        <v>46293</v>
      </c>
      <c r="F13" s="12">
        <f>IF(E13="","",E13-TODAY())</f>
        <v/>
      </c>
      <c r="G13" s="10" t="inlineStr">
        <is>
          <t>JR-WEST ONLINE</t>
        </is>
      </c>
      <c r="H13" s="20" t="n">
        <v>17000</v>
      </c>
      <c r="I13" s="11" t="inlineStr">
        <is>
          <t>JPY</t>
        </is>
      </c>
      <c r="J13" s="11" t="inlineStr">
        <is>
          <t>A testa</t>
        </is>
      </c>
      <c r="K13" s="13">
        <f>IF(H13="","",IF(UPPER(I13)="JPY",H13/Tasso_JPY_EUR,H13))</f>
        <v/>
      </c>
      <c r="L13" s="13">
        <f>IF(H13="","",K13*IF(LEFT(UPPER(J13),1)="A",N_Persone,1))</f>
        <v/>
      </c>
      <c r="M13" s="13">
        <f>IF(H13="","",IF(LEFT(UPPER(J13),1)="A",K13,K13/N_Persone))</f>
        <v/>
      </c>
      <c r="N13" s="11" t="inlineStr">
        <is>
          <t>Da fare</t>
        </is>
      </c>
      <c r="O13" s="10" t="inlineStr"/>
      <c r="P13" s="11" t="inlineStr">
        <is>
          <t>Alta</t>
        </is>
      </c>
      <c r="Q13" s="10" t="inlineStr">
        <is>
          <t>Acquistare su JR-WEST ONLINE per prenotare i posti online · ritiro/attivazione 28 ott</t>
        </is>
      </c>
    </row>
    <row r="14" ht="26" customHeight="1">
      <c r="A14" s="10" t="inlineStr">
        <is>
          <t>Posti riservati Shin-Osaka→Hiroshima</t>
        </is>
      </c>
      <c r="B14" s="11" t="inlineStr">
        <is>
          <t>Trasporti</t>
        </is>
      </c>
      <c r="C14" s="10" t="inlineStr">
        <is>
          <t>28 ott</t>
        </is>
      </c>
      <c r="D14" s="10" t="inlineStr">
        <is>
          <t>28 set 10:00 JST</t>
        </is>
      </c>
      <c r="E14" s="9" t="n">
        <v>46293</v>
      </c>
      <c r="F14" s="12">
        <f>IF(E14="","",E14-TODAY())</f>
        <v/>
      </c>
      <c r="G14" s="10" t="inlineStr">
        <is>
          <t>JR-WEST Online</t>
        </is>
      </c>
      <c r="H14" s="20" t="n">
        <v>0</v>
      </c>
      <c r="I14" s="11" t="inlineStr">
        <is>
          <t>JPY</t>
        </is>
      </c>
      <c r="J14" s="11" t="inlineStr">
        <is>
          <t>A testa</t>
        </is>
      </c>
      <c r="K14" s="13">
        <f>IF(H14="","",IF(UPPER(I14)="JPY",H14/Tasso_JPY_EUR,H14))</f>
        <v/>
      </c>
      <c r="L14" s="13">
        <f>IF(H14="","",K14*IF(LEFT(UPPER(J14),1)="A",N_Persone,1))</f>
        <v/>
      </c>
      <c r="M14" s="13">
        <f>IF(H14="","",IF(LEFT(UPPER(J14),1)="A",K14,K14/N_Persone))</f>
        <v/>
      </c>
      <c r="N14" s="11" t="inlineStr">
        <is>
          <t>Da fare</t>
        </is>
      </c>
      <c r="O14" s="10" t="inlineStr"/>
      <c r="P14" s="11" t="inlineStr">
        <is>
          <t>Alta</t>
        </is>
      </c>
      <c r="Q14" s="10" t="inlineStr">
        <is>
          <t>Gratis con il pass · Sakura ~06:45</t>
        </is>
      </c>
    </row>
    <row r="15" ht="26" customHeight="1">
      <c r="A15" s="10" t="inlineStr">
        <is>
          <t>Posti riservati Hiroshima→Shin-Osaka</t>
        </is>
      </c>
      <c r="B15" s="11" t="inlineStr">
        <is>
          <t>Trasporti</t>
        </is>
      </c>
      <c r="C15" s="10" t="inlineStr">
        <is>
          <t>28 ott</t>
        </is>
      </c>
      <c r="D15" s="10" t="inlineStr">
        <is>
          <t>28 set 10:00 JST</t>
        </is>
      </c>
      <c r="E15" s="9" t="n">
        <v>46293</v>
      </c>
      <c r="F15" s="12">
        <f>IF(E15="","",E15-TODAY())</f>
        <v/>
      </c>
      <c r="G15" s="10" t="inlineStr">
        <is>
          <t>JR-WEST Online</t>
        </is>
      </c>
      <c r="H15" s="20" t="n">
        <v>0</v>
      </c>
      <c r="I15" s="11" t="inlineStr">
        <is>
          <t>JPY</t>
        </is>
      </c>
      <c r="J15" s="11" t="inlineStr">
        <is>
          <t>A testa</t>
        </is>
      </c>
      <c r="K15" s="13">
        <f>IF(H15="","",IF(UPPER(I15)="JPY",H15/Tasso_JPY_EUR,H15))</f>
        <v/>
      </c>
      <c r="L15" s="13">
        <f>IF(H15="","",K15*IF(LEFT(UPPER(J15),1)="A",N_Persone,1))</f>
        <v/>
      </c>
      <c r="M15" s="13">
        <f>IF(H15="","",IF(LEFT(UPPER(J15),1)="A",K15,K15/N_Persone))</f>
        <v/>
      </c>
      <c r="N15" s="11" t="inlineStr">
        <is>
          <t>Da fare</t>
        </is>
      </c>
      <c r="O15" s="10" t="inlineStr"/>
      <c r="P15" s="11" t="inlineStr">
        <is>
          <t>Alta</t>
        </is>
      </c>
      <c r="Q15" s="10" t="inlineStr">
        <is>
          <t>Gratis con il pass · ritorno ~18:15</t>
        </is>
      </c>
    </row>
    <row r="16" ht="26" customHeight="1">
      <c r="A16" s="10" t="inlineStr">
        <is>
          <t>Kyoto→Tokyo Shinkansen Hikari (riservato)</t>
        </is>
      </c>
      <c r="B16" s="11" t="inlineStr">
        <is>
          <t>Trasporti</t>
        </is>
      </c>
      <c r="C16" s="10" t="inlineStr">
        <is>
          <t>1 nov</t>
        </is>
      </c>
      <c r="D16" s="10" t="inlineStr">
        <is>
          <t>1 ott 10:00 JST</t>
        </is>
      </c>
      <c r="E16" s="9" t="n">
        <v>46296</v>
      </c>
      <c r="F16" s="12">
        <f>IF(E16="","",E16-TODAY())</f>
        <v/>
      </c>
      <c r="G16" s="10" t="inlineStr">
        <is>
          <t>SmartEX</t>
        </is>
      </c>
      <c r="H16" s="20" t="n">
        <v>13650</v>
      </c>
      <c r="I16" s="11" t="inlineStr">
        <is>
          <t>JPY</t>
        </is>
      </c>
      <c r="J16" s="11" t="inlineStr">
        <is>
          <t>A testa</t>
        </is>
      </c>
      <c r="K16" s="13">
        <f>IF(H16="","",IF(UPPER(I16)="JPY",H16/Tasso_JPY_EUR,H16))</f>
        <v/>
      </c>
      <c r="L16" s="13">
        <f>IF(H16="","",K16*IF(LEFT(UPPER(J16),1)="A",N_Persone,1))</f>
        <v/>
      </c>
      <c r="M16" s="13">
        <f>IF(H16="","",IF(LEFT(UPPER(J16),1)="A",K16,K16/N_Persone))</f>
        <v/>
      </c>
      <c r="N16" s="11" t="inlineStr">
        <is>
          <t>Da fare</t>
        </is>
      </c>
      <c r="O16" s="10" t="inlineStr"/>
      <c r="P16" s="11" t="inlineStr">
        <is>
          <t>Alta</t>
        </is>
      </c>
      <c r="Q16" s="10" t="inlineStr">
        <is>
          <t>Hayatoku 21 se entro 11 ott · ~2h40</t>
        </is>
      </c>
    </row>
    <row r="17" ht="26" customHeight="1">
      <c r="A17" s="10" t="inlineStr">
        <is>
          <t>Tokyo Skytree</t>
        </is>
      </c>
      <c r="B17" s="11" t="inlineStr">
        <is>
          <t>Ingressi/Attività</t>
        </is>
      </c>
      <c r="C17" s="10" t="inlineStr">
        <is>
          <t>1 nov (dom)</t>
        </is>
      </c>
      <c r="D17" s="10" t="inlineStr">
        <is>
          <t>~2 ott 00:00 JST</t>
        </is>
      </c>
      <c r="E17" s="9" t="n">
        <v>46297</v>
      </c>
      <c r="F17" s="12">
        <f>IF(E17="","",E17-TODAY())</f>
        <v/>
      </c>
      <c r="G17" s="10" t="inlineStr">
        <is>
          <t>sito ufficiale / Klook</t>
        </is>
      </c>
      <c r="H17" s="20" t="n">
        <v>2300</v>
      </c>
      <c r="I17" s="11" t="inlineStr">
        <is>
          <t>JPY</t>
        </is>
      </c>
      <c r="J17" s="11" t="inlineStr">
        <is>
          <t>A testa</t>
        </is>
      </c>
      <c r="K17" s="13">
        <f>IF(H17="","",IF(UPPER(I17)="JPY",H17/Tasso_JPY_EUR,H17))</f>
        <v/>
      </c>
      <c r="L17" s="13">
        <f>IF(H17="","",K17*IF(LEFT(UPPER(J17),1)="A",N_Persone,1))</f>
        <v/>
      </c>
      <c r="M17" s="13">
        <f>IF(H17="","",IF(LEFT(UPPER(J17),1)="A",K17,K17/N_Persone))</f>
        <v/>
      </c>
      <c r="N17" s="11" t="inlineStr">
        <is>
          <t>Da fare</t>
        </is>
      </c>
      <c r="O17" s="10" t="inlineStr"/>
      <c r="P17" s="11" t="inlineStr">
        <is>
          <t>Media</t>
        </is>
      </c>
      <c r="Q17" s="10" t="inlineStr">
        <is>
          <t>Weekend ~¥2.600 in loco · salita al tramonto ~16:40</t>
        </is>
      </c>
    </row>
    <row r="18" ht="26" customHeight="1">
      <c r="A18" s="10" t="inlineStr">
        <is>
          <t>Uzumasa Kyoto Village (Evangelion / EVA)</t>
        </is>
      </c>
      <c r="B18" s="11" t="inlineStr">
        <is>
          <t>Ingressi/Attività</t>
        </is>
      </c>
      <c r="C18" s="10" t="inlineStr">
        <is>
          <t>31 ott</t>
        </is>
      </c>
      <c r="D18" s="10" t="inlineStr">
        <is>
          <t>vendita anticipata</t>
        </is>
      </c>
      <c r="E18" s="9" t="n"/>
      <c r="F18" s="12">
        <f>IF(E18="","",E18-TODAY())</f>
        <v/>
      </c>
      <c r="G18" s="10" t="inlineStr">
        <is>
          <t>ticket.eigamura.com</t>
        </is>
      </c>
      <c r="H18" s="20" t="n">
        <v>2800</v>
      </c>
      <c r="I18" s="11" t="inlineStr">
        <is>
          <t>JPY</t>
        </is>
      </c>
      <c r="J18" s="11" t="inlineStr">
        <is>
          <t>A testa</t>
        </is>
      </c>
      <c r="K18" s="13">
        <f>IF(H18="","",IF(UPPER(I18)="JPY",H18/Tasso_JPY_EUR,H18))</f>
        <v/>
      </c>
      <c r="L18" s="13">
        <f>IF(H18="","",K18*IF(LEFT(UPPER(J18),1)="A",N_Persone,1))</f>
        <v/>
      </c>
      <c r="M18" s="13">
        <f>IF(H18="","",IF(LEFT(UPPER(J18),1)="A",K18,K18/N_Persone))</f>
        <v/>
      </c>
      <c r="N18" s="11" t="inlineStr">
        <is>
          <t>Da fare</t>
        </is>
      </c>
      <c r="O18" s="10" t="inlineStr"/>
      <c r="P18" s="11" t="inlineStr">
        <is>
          <t>Media</t>
        </is>
      </c>
      <c r="Q18" s="10" t="inlineStr">
        <is>
          <t>EVA ultimo ingresso 17:15 · entrare entro ~16:00</t>
        </is>
      </c>
    </row>
    <row r="19" ht="26" customHeight="1">
      <c r="A19" s="10" t="inlineStr">
        <is>
          <t>Shibuya Sky ⭐ Rebecca</t>
        </is>
      </c>
      <c r="B19" s="11" t="inlineStr">
        <is>
          <t>Ingressi/Attività</t>
        </is>
      </c>
      <c r="C19" s="10" t="inlineStr">
        <is>
          <t>4 nov</t>
        </is>
      </c>
      <c r="D19" s="10" t="inlineStr">
        <is>
          <t>21 ott 00:00 JST</t>
        </is>
      </c>
      <c r="E19" s="9" t="n">
        <v>46316</v>
      </c>
      <c r="F19" s="12">
        <f>IF(E19="","",E19-TODAY())</f>
        <v/>
      </c>
      <c r="G19" s="10" t="inlineStr">
        <is>
          <t>shibuya-sky.com / Webket</t>
        </is>
      </c>
      <c r="H19" s="20" t="n">
        <v>3400</v>
      </c>
      <c r="I19" s="11" t="inlineStr">
        <is>
          <t>JPY</t>
        </is>
      </c>
      <c r="J19" s="11" t="inlineStr">
        <is>
          <t>A testa</t>
        </is>
      </c>
      <c r="K19" s="13">
        <f>IF(H19="","",IF(UPPER(I19)="JPY",H19/Tasso_JPY_EUR,H19))</f>
        <v/>
      </c>
      <c r="L19" s="13">
        <f>IF(H19="","",K19*IF(LEFT(UPPER(J19),1)="A",N_Persone,1))</f>
        <v/>
      </c>
      <c r="M19" s="13">
        <f>IF(H19="","",IF(LEFT(UPPER(J19),1)="A",K19,K19/N_Persone))</f>
        <v/>
      </c>
      <c r="N19" s="11" t="inlineStr">
        <is>
          <t>Da fare</t>
        </is>
      </c>
      <c r="O19" s="10" t="inlineStr"/>
      <c r="P19" s="11" t="inlineStr">
        <is>
          <t>Alta</t>
        </is>
      </c>
      <c r="Q19" s="10" t="inlineStr">
        <is>
          <t>Slot tramonto (dalle 15:00) · prenotare subito all'apertura</t>
        </is>
      </c>
    </row>
    <row r="20" ht="26" customHeight="1">
      <c r="A20" s="10" t="inlineStr">
        <is>
          <t>Museo della Pace Hiroshima (slot web)</t>
        </is>
      </c>
      <c r="B20" s="11" t="inlineStr">
        <is>
          <t>Ingressi/Attività</t>
        </is>
      </c>
      <c r="C20" s="10" t="inlineStr">
        <is>
          <t>28 ott</t>
        </is>
      </c>
      <c r="D20" s="10" t="inlineStr">
        <is>
          <t>90 gg (aperta)</t>
        </is>
      </c>
      <c r="E20" s="9" t="n"/>
      <c r="F20" s="12">
        <f>IF(E20="","",E20-TODAY())</f>
        <v/>
      </c>
      <c r="G20" s="10" t="inlineStr">
        <is>
          <t>Klook / Asoview</t>
        </is>
      </c>
      <c r="H20" s="20" t="n">
        <v>200</v>
      </c>
      <c r="I20" s="11" t="inlineStr">
        <is>
          <t>JPY</t>
        </is>
      </c>
      <c r="J20" s="11" t="inlineStr">
        <is>
          <t>A testa</t>
        </is>
      </c>
      <c r="K20" s="13">
        <f>IF(H20="","",IF(UPPER(I20)="JPY",H20/Tasso_JPY_EUR,H20))</f>
        <v/>
      </c>
      <c r="L20" s="13">
        <f>IF(H20="","",K20*IF(LEFT(UPPER(J20),1)="A",N_Persone,1))</f>
        <v/>
      </c>
      <c r="M20" s="13">
        <f>IF(H20="","",IF(LEFT(UPPER(J20),1)="A",K20,K20/N_Persone))</f>
        <v/>
      </c>
      <c r="N20" s="11" t="inlineStr">
        <is>
          <t>Da fare</t>
        </is>
      </c>
      <c r="O20" s="10" t="inlineStr"/>
      <c r="P20" s="11" t="inlineStr">
        <is>
          <t>Media</t>
        </is>
      </c>
      <c r="Q20" s="10" t="inlineStr">
        <is>
          <t>Slot 30' · di giorno ok anche in cassa</t>
        </is>
      </c>
    </row>
    <row r="21" ht="26" customHeight="1">
      <c r="A21" s="10" t="inlineStr">
        <is>
          <t>Tokyo Tower</t>
        </is>
      </c>
      <c r="B21" s="11" t="inlineStr">
        <is>
          <t>Ingressi/Attività</t>
        </is>
      </c>
      <c r="C21" s="10" t="inlineStr">
        <is>
          <t>5 nov</t>
        </is>
      </c>
      <c r="D21" s="10" t="inlineStr">
        <is>
          <t>nessuna</t>
        </is>
      </c>
      <c r="E21" s="9" t="n"/>
      <c r="F21" s="12">
        <f>IF(E21="","",E21-TODAY())</f>
        <v/>
      </c>
      <c r="G21" s="10" t="inlineStr">
        <is>
          <t>cassa / online</t>
        </is>
      </c>
      <c r="H21" s="20" t="n">
        <v>1500</v>
      </c>
      <c r="I21" s="11" t="inlineStr">
        <is>
          <t>JPY</t>
        </is>
      </c>
      <c r="J21" s="11" t="inlineStr">
        <is>
          <t>A testa</t>
        </is>
      </c>
      <c r="K21" s="13">
        <f>IF(H21="","",IF(UPPER(I21)="JPY",H21/Tasso_JPY_EUR,H21))</f>
        <v/>
      </c>
      <c r="L21" s="13">
        <f>IF(H21="","",K21*IF(LEFT(UPPER(J21),1)="A",N_Persone,1))</f>
        <v/>
      </c>
      <c r="M21" s="13">
        <f>IF(H21="","",IF(LEFT(UPPER(J21),1)="A",K21,K21/N_Persone))</f>
        <v/>
      </c>
      <c r="N21" s="11" t="inlineStr">
        <is>
          <t>Da fare</t>
        </is>
      </c>
      <c r="O21" s="10" t="inlineStr"/>
      <c r="P21" s="11" t="inlineStr">
        <is>
          <t>Bassa</t>
        </is>
      </c>
      <c r="Q21" s="10" t="inlineStr">
        <is>
          <t>¥1.500 stesso prezzo</t>
        </is>
      </c>
    </row>
    <row r="22" ht="26" customHeight="1">
      <c r="A22" s="10" t="inlineStr">
        <is>
          <t>Takkyubin valigie Osaka→Tokyo (3 valigie)</t>
        </is>
      </c>
      <c r="B22" s="11" t="inlineStr">
        <is>
          <t>Bagagli</t>
        </is>
      </c>
      <c r="C22" s="10" t="inlineStr">
        <is>
          <t>29 ott (consegna 1 nov)</t>
        </is>
      </c>
      <c r="D22" s="10" t="inlineStr">
        <is>
          <t>—</t>
        </is>
      </c>
      <c r="E22" s="9" t="n"/>
      <c r="F22" s="12">
        <f>IF(E22="","",E22-TODAY())</f>
        <v/>
      </c>
      <c r="G22" s="10" t="inlineStr">
        <is>
          <t>Yamato Namba Station Center</t>
        </is>
      </c>
      <c r="H22" s="20" t="n">
        <v>9480</v>
      </c>
      <c r="I22" s="11" t="inlineStr">
        <is>
          <t>JPY</t>
        </is>
      </c>
      <c r="J22" s="11" t="inlineStr">
        <is>
          <t>Totale</t>
        </is>
      </c>
      <c r="K22" s="13">
        <f>IF(H22="","",IF(UPPER(I22)="JPY",H22/Tasso_JPY_EUR,H22))</f>
        <v/>
      </c>
      <c r="L22" s="13">
        <f>IF(H22="","",K22*IF(LEFT(UPPER(J22),1)="A",N_Persone,1))</f>
        <v/>
      </c>
      <c r="M22" s="13">
        <f>IF(H22="","",IF(LEFT(UPPER(J22),1)="A",K22,K22/N_Persone))</f>
        <v/>
      </c>
      <c r="N22" s="11" t="inlineStr">
        <is>
          <t>Da fare</t>
        </is>
      </c>
      <c r="O22" s="10" t="inlineStr"/>
      <c r="P22" s="11" t="inlineStr">
        <is>
          <t>Alta</t>
        </is>
      </c>
      <c r="Q22" s="10" t="inlineStr">
        <is>
          <t>¥3.160/valigia · confermare host Tokyo · non spedire valori/documenti</t>
        </is>
      </c>
    </row>
    <row r="23" ht="26" customHeight="1">
      <c r="A23" s="10" t="inlineStr">
        <is>
          <t>eSIM Giappone</t>
        </is>
      </c>
      <c r="B23" s="11" t="inlineStr">
        <is>
          <t>eSIM</t>
        </is>
      </c>
      <c r="C23" s="10" t="inlineStr">
        <is>
          <t>pre-partenza</t>
        </is>
      </c>
      <c r="D23" s="10" t="inlineStr">
        <is>
          <t>~2 settimane prima</t>
        </is>
      </c>
      <c r="E23" s="9" t="n">
        <v>46309</v>
      </c>
      <c r="F23" s="12">
        <f>IF(E23="","",E23-TODAY())</f>
        <v/>
      </c>
      <c r="G23" s="10" t="inlineStr">
        <is>
          <t>Klook / Airalo</t>
        </is>
      </c>
      <c r="H23" s="20" t="n">
        <v>20</v>
      </c>
      <c r="I23" s="11" t="inlineStr">
        <is>
          <t>EUR</t>
        </is>
      </c>
      <c r="J23" s="11" t="inlineStr">
        <is>
          <t>A testa</t>
        </is>
      </c>
      <c r="K23" s="13">
        <f>IF(H23="","",IF(UPPER(I23)="JPY",H23/Tasso_JPY_EUR,H23))</f>
        <v/>
      </c>
      <c r="L23" s="13">
        <f>IF(H23="","",K23*IF(LEFT(UPPER(J23),1)="A",N_Persone,1))</f>
        <v/>
      </c>
      <c r="M23" s="13">
        <f>IF(H23="","",IF(LEFT(UPPER(J23),1)="A",K23,K23/N_Persone))</f>
        <v/>
      </c>
      <c r="N23" s="11" t="inlineStr">
        <is>
          <t>Da fare</t>
        </is>
      </c>
      <c r="O23" s="10" t="inlineStr"/>
      <c r="P23" s="11" t="inlineStr">
        <is>
          <t>Alta</t>
        </is>
      </c>
      <c r="Q23" s="10" t="inlineStr">
        <is>
          <t>Attivare prima della partenza</t>
        </is>
      </c>
    </row>
    <row r="24" ht="26" customHeight="1">
      <c r="A24" s="10" t="inlineStr">
        <is>
          <t>Pasto speciale Rebecca (China Eastern)</t>
        </is>
      </c>
      <c r="B24" s="11" t="inlineStr">
        <is>
          <t>Extra</t>
        </is>
      </c>
      <c r="C24" s="10" t="inlineStr">
        <is>
          <t>23 ott / 6 nov</t>
        </is>
      </c>
      <c r="D24" s="10" t="inlineStr">
        <is>
          <t>pre-partenza</t>
        </is>
      </c>
      <c r="E24" s="9" t="n"/>
      <c r="F24" s="12">
        <f>IF(E24="","",E24-TODAY())</f>
        <v/>
      </c>
      <c r="G24" s="10" t="inlineStr">
        <is>
          <t>China Eastern</t>
        </is>
      </c>
      <c r="H24" s="20" t="n">
        <v>0</v>
      </c>
      <c r="I24" s="11" t="inlineStr">
        <is>
          <t>EUR</t>
        </is>
      </c>
      <c r="J24" s="11" t="inlineStr">
        <is>
          <t>A testa</t>
        </is>
      </c>
      <c r="K24" s="13">
        <f>IF(H24="","",IF(UPPER(I24)="JPY",H24/Tasso_JPY_EUR,H24))</f>
        <v/>
      </c>
      <c r="L24" s="13">
        <f>IF(H24="","",K24*IF(LEFT(UPPER(J24),1)="A",N_Persone,1))</f>
        <v/>
      </c>
      <c r="M24" s="13">
        <f>IF(H24="","",IF(LEFT(UPPER(J24),1)="A",K24,K24/N_Persone))</f>
        <v/>
      </c>
      <c r="N24" s="11" t="inlineStr">
        <is>
          <t>Da fare</t>
        </is>
      </c>
      <c r="O24" s="10" t="inlineStr"/>
      <c r="P24" s="11" t="inlineStr">
        <is>
          <t>Alta</t>
        </is>
      </c>
      <c r="Q24" s="10" t="inlineStr">
        <is>
          <t>No soia/pesce/crostacei/frutta secca · verificare entrambi i segmenti + scalo PVG</t>
        </is>
      </c>
    </row>
    <row r="25" ht="26" customHeight="1">
      <c r="A25" s="10" t="inlineStr">
        <is>
          <t>Express Pass USJ (opzionale)</t>
        </is>
      </c>
      <c r="B25" s="11" t="inlineStr">
        <is>
          <t>Ingressi/Attività</t>
        </is>
      </c>
      <c r="C25" s="10" t="inlineStr">
        <is>
          <t>27 ott</t>
        </is>
      </c>
      <c r="D25" s="10" t="inlineStr">
        <is>
          <t>—</t>
        </is>
      </c>
      <c r="E25" s="9" t="n"/>
      <c r="F25" s="12">
        <f>IF(E25="","",E25-TODAY())</f>
        <v/>
      </c>
      <c r="G25" s="10" t="inlineStr">
        <is>
          <t>Klook</t>
        </is>
      </c>
      <c r="H25" s="20" t="n">
        <v>8000</v>
      </c>
      <c r="I25" s="11" t="inlineStr">
        <is>
          <t>JPY</t>
        </is>
      </c>
      <c r="J25" s="11" t="inlineStr">
        <is>
          <t>A testa</t>
        </is>
      </c>
      <c r="K25" s="13">
        <f>IF(H25="","",IF(UPPER(I25)="JPY",H25/Tasso_JPY_EUR,H25))</f>
        <v/>
      </c>
      <c r="L25" s="13">
        <f>IF(H25="","",K25*IF(LEFT(UPPER(J25),1)="A",N_Persone,1))</f>
        <v/>
      </c>
      <c r="M25" s="13">
        <f>IF(H25="","",IF(LEFT(UPPER(J25),1)="A",K25,K25/N_Persone))</f>
        <v/>
      </c>
      <c r="N25" s="11" t="inlineStr">
        <is>
          <t>Opzionale</t>
        </is>
      </c>
      <c r="O25" s="10" t="inlineStr"/>
      <c r="P25" s="11" t="inlineStr">
        <is>
          <t>Bassa</t>
        </is>
      </c>
      <c r="Q25" s="10" t="inlineStr">
        <is>
          <t>Solo per saltare code 2h+</t>
        </is>
      </c>
    </row>
    <row r="26" ht="26" customHeight="1">
      <c r="A26" s="10" t="inlineStr">
        <is>
          <t>EN Tea Ceremony (alternativa a Uzumasa)</t>
        </is>
      </c>
      <c r="B26" s="11" t="inlineStr">
        <is>
          <t>Ingressi/Attività</t>
        </is>
      </c>
      <c r="C26" s="10" t="inlineStr">
        <is>
          <t>31 ott</t>
        </is>
      </c>
      <c r="D26" s="10" t="inlineStr">
        <is>
          <t>—</t>
        </is>
      </c>
      <c r="E26" s="9" t="n"/>
      <c r="F26" s="12">
        <f>IF(E26="","",E26-TODAY())</f>
        <v/>
      </c>
      <c r="G26" s="10" t="inlineStr">
        <is>
          <t>asoview / byFood / KKDay</t>
        </is>
      </c>
      <c r="H26" s="20" t="n">
        <v>2500</v>
      </c>
      <c r="I26" s="11" t="inlineStr">
        <is>
          <t>JPY</t>
        </is>
      </c>
      <c r="J26" s="11" t="inlineStr">
        <is>
          <t>A testa</t>
        </is>
      </c>
      <c r="K26" s="13">
        <f>IF(H26="","",IF(UPPER(I26)="JPY",H26/Tasso_JPY_EUR,H26))</f>
        <v/>
      </c>
      <c r="L26" s="13">
        <f>IF(H26="","",K26*IF(LEFT(UPPER(J26),1)="A",N_Persone,1))</f>
        <v/>
      </c>
      <c r="M26" s="13">
        <f>IF(H26="","",IF(LEFT(UPPER(J26),1)="A",K26,K26/N_Persone))</f>
        <v/>
      </c>
      <c r="N26" s="11" t="inlineStr">
        <is>
          <t>Opzionale</t>
        </is>
      </c>
      <c r="O26" s="10" t="inlineStr"/>
      <c r="P26" s="11" t="inlineStr">
        <is>
          <t>Bassa</t>
        </is>
      </c>
      <c r="Q26" s="10" t="inlineStr">
        <is>
          <t>Verificare operativita' (segnalazioni chiusura 2024)</t>
        </is>
      </c>
    </row>
    <row r="27" ht="26" customHeight="1">
      <c r="A27" s="10" t="inlineStr">
        <is>
          <t>Cena anniversario Davide &amp; Rebecca</t>
        </is>
      </c>
      <c r="B27" s="11" t="inlineStr">
        <is>
          <t>Cibo</t>
        </is>
      </c>
      <c r="C27" s="10" t="inlineStr">
        <is>
          <t>5 nov</t>
        </is>
      </c>
      <c r="D27" s="10" t="inlineStr">
        <is>
          <t>—</t>
        </is>
      </c>
      <c r="E27" s="9" t="n"/>
      <c r="F27" s="12">
        <f>IF(E27="","",E27-TODAY())</f>
        <v/>
      </c>
      <c r="G27" s="10" t="inlineStr">
        <is>
          <t>a cura di Rebecca</t>
        </is>
      </c>
      <c r="H27" s="20" t="n">
        <v>0</v>
      </c>
      <c r="I27" s="11" t="inlineStr">
        <is>
          <t>EUR</t>
        </is>
      </c>
      <c r="J27" s="11" t="inlineStr">
        <is>
          <t>Totale</t>
        </is>
      </c>
      <c r="K27" s="13">
        <f>IF(H27="","",IF(UPPER(I27)="JPY",H27/Tasso_JPY_EUR,H27))</f>
        <v/>
      </c>
      <c r="L27" s="13">
        <f>IF(H27="","",K27*IF(LEFT(UPPER(J27),1)="A",N_Persone,1))</f>
        <v/>
      </c>
      <c r="M27" s="13">
        <f>IF(H27="","",IF(LEFT(UPPER(J27),1)="A",K27,K27/N_Persone))</f>
        <v/>
      </c>
      <c r="N27" s="11" t="inlineStr">
        <is>
          <t>Opzionale</t>
        </is>
      </c>
      <c r="O27" s="10" t="inlineStr"/>
      <c r="P27" s="11" t="inlineStr">
        <is>
          <t>Bassa</t>
        </is>
      </c>
      <c r="Q27" s="10" t="inlineStr">
        <is>
          <t>Ristorante Rebecca-safe</t>
        </is>
      </c>
    </row>
    <row r="28" ht="26" customHeight="1">
      <c r="A28" s="10" t="inlineStr">
        <is>
          <t>Verifica maree Miyajima</t>
        </is>
      </c>
      <c r="B28" s="11" t="inlineStr">
        <is>
          <t>Extra</t>
        </is>
      </c>
      <c r="C28" s="10" t="inlineStr">
        <is>
          <t>27 ott</t>
        </is>
      </c>
      <c r="D28" s="10" t="inlineStr">
        <is>
          <t>giorno prima</t>
        </is>
      </c>
      <c r="E28" s="9" t="n">
        <v>46322</v>
      </c>
      <c r="F28" s="12">
        <f>IF(E28="","",E28-TODAY())</f>
        <v/>
      </c>
      <c r="G28" s="10" t="inlineStr">
        <is>
          <t>—</t>
        </is>
      </c>
      <c r="H28" s="20" t="n">
        <v>0</v>
      </c>
      <c r="I28" s="11" t="inlineStr">
        <is>
          <t>EUR</t>
        </is>
      </c>
      <c r="J28" s="11" t="inlineStr">
        <is>
          <t>A testa</t>
        </is>
      </c>
      <c r="K28" s="13">
        <f>IF(H28="","",IF(UPPER(I28)="JPY",H28/Tasso_JPY_EUR,H28))</f>
        <v/>
      </c>
      <c r="L28" s="13">
        <f>IF(H28="","",K28*IF(LEFT(UPPER(J28),1)="A",N_Persone,1))</f>
        <v/>
      </c>
      <c r="M28" s="13">
        <f>IF(H28="","",IF(LEFT(UPPER(J28),1)="A",K28,K28/N_Persone))</f>
        <v/>
      </c>
      <c r="N28" s="11" t="inlineStr">
        <is>
          <t>Da fare</t>
        </is>
      </c>
      <c r="O28" s="10" t="inlineStr"/>
      <c r="P28" s="11" t="inlineStr">
        <is>
          <t>Media</t>
        </is>
      </c>
      <c r="Q28" s="10" t="inlineStr">
        <is>
          <t>Torii piu' scenico con alta marea · tassa visita 100 ¥</t>
        </is>
      </c>
    </row>
    <row r="29" ht="26" customHeight="1">
      <c r="A29" s="10" t="inlineStr">
        <is>
          <t>Confermare host Tokyo ricezione bagagli</t>
        </is>
      </c>
      <c r="B29" s="11" t="inlineStr">
        <is>
          <t>Extra</t>
        </is>
      </c>
      <c r="C29" s="10" t="inlineStr">
        <is>
          <t>entro 29 ott</t>
        </is>
      </c>
      <c r="D29" s="10" t="inlineStr">
        <is>
          <t>—</t>
        </is>
      </c>
      <c r="E29" s="9" t="n">
        <v>46324</v>
      </c>
      <c r="F29" s="12">
        <f>IF(E29="","",E29-TODAY())</f>
        <v/>
      </c>
      <c r="G29" s="10" t="inlineStr">
        <is>
          <t>—</t>
        </is>
      </c>
      <c r="H29" s="20" t="n">
        <v>0</v>
      </c>
      <c r="I29" s="11" t="inlineStr">
        <is>
          <t>EUR</t>
        </is>
      </c>
      <c r="J29" s="11" t="inlineStr">
        <is>
          <t>A testa</t>
        </is>
      </c>
      <c r="K29" s="13">
        <f>IF(H29="","",IF(UPPER(I29)="JPY",H29/Tasso_JPY_EUR,H29))</f>
        <v/>
      </c>
      <c r="L29" s="13">
        <f>IF(H29="","",K29*IF(LEFT(UPPER(J29),1)="A",N_Persone,1))</f>
        <v/>
      </c>
      <c r="M29" s="13">
        <f>IF(H29="","",IF(LEFT(UPPER(J29),1)="A",K29,K29/N_Persone))</f>
        <v/>
      </c>
      <c r="N29" s="11" t="inlineStr">
        <is>
          <t>Da fare</t>
        </is>
      </c>
      <c r="O29" s="10" t="inlineStr"/>
      <c r="P29" s="11" t="inlineStr">
        <is>
          <t>Alta</t>
        </is>
      </c>
      <c r="Q29" s="10" t="inlineStr">
        <is>
          <t>Private lodging puo' rifiutare la consegna differita</t>
        </is>
      </c>
    </row>
    <row r="30" ht="26" customHeight="1">
      <c r="A30" s="10" t="n"/>
      <c r="B30" s="11" t="n"/>
      <c r="C30" s="10" t="n"/>
      <c r="D30" s="10" t="n"/>
      <c r="E30" s="9" t="n"/>
      <c r="F30" s="12">
        <f>IF(E30="","",E30-TODAY())</f>
        <v/>
      </c>
      <c r="G30" s="10" t="n"/>
      <c r="H30" s="20" t="n"/>
      <c r="I30" s="11" t="n"/>
      <c r="J30" s="11" t="n"/>
      <c r="K30" s="13">
        <f>IF(H30="","",IF(UPPER(I30)="JPY",H30/Tasso_JPY_EUR,H30))</f>
        <v/>
      </c>
      <c r="L30" s="13">
        <f>IF(H30="","",K30*IF(LEFT(UPPER(J30),1)="A",N_Persone,1))</f>
        <v/>
      </c>
      <c r="M30" s="13">
        <f>IF(H30="","",IF(LEFT(UPPER(J30),1)="A",K30,K30/N_Persone))</f>
        <v/>
      </c>
      <c r="N30" s="11" t="n"/>
      <c r="O30" s="10" t="n"/>
      <c r="P30" s="11" t="n"/>
      <c r="Q30" s="10" t="n"/>
    </row>
    <row r="31" ht="26" customHeight="1">
      <c r="A31" s="10" t="n"/>
      <c r="B31" s="11" t="n"/>
      <c r="C31" s="10" t="n"/>
      <c r="D31" s="10" t="n"/>
      <c r="E31" s="9" t="n"/>
      <c r="F31" s="12">
        <f>IF(E31="","",E31-TODAY())</f>
        <v/>
      </c>
      <c r="G31" s="10" t="n"/>
      <c r="H31" s="20" t="n"/>
      <c r="I31" s="11" t="n"/>
      <c r="J31" s="11" t="n"/>
      <c r="K31" s="13">
        <f>IF(H31="","",IF(UPPER(I31)="JPY",H31/Tasso_JPY_EUR,H31))</f>
        <v/>
      </c>
      <c r="L31" s="13">
        <f>IF(H31="","",K31*IF(LEFT(UPPER(J31),1)="A",N_Persone,1))</f>
        <v/>
      </c>
      <c r="M31" s="13">
        <f>IF(H31="","",IF(LEFT(UPPER(J31),1)="A",K31,K31/N_Persone))</f>
        <v/>
      </c>
      <c r="N31" s="11" t="n"/>
      <c r="O31" s="10" t="n"/>
      <c r="P31" s="11" t="n"/>
      <c r="Q31" s="10" t="n"/>
    </row>
    <row r="32" ht="26" customHeight="1">
      <c r="A32" s="10" t="n"/>
      <c r="B32" s="11" t="n"/>
      <c r="C32" s="10" t="n"/>
      <c r="D32" s="10" t="n"/>
      <c r="E32" s="9" t="n"/>
      <c r="F32" s="12">
        <f>IF(E32="","",E32-TODAY())</f>
        <v/>
      </c>
      <c r="G32" s="10" t="n"/>
      <c r="H32" s="20" t="n"/>
      <c r="I32" s="11" t="n"/>
      <c r="J32" s="11" t="n"/>
      <c r="K32" s="13">
        <f>IF(H32="","",IF(UPPER(I32)="JPY",H32/Tasso_JPY_EUR,H32))</f>
        <v/>
      </c>
      <c r="L32" s="13">
        <f>IF(H32="","",K32*IF(LEFT(UPPER(J32),1)="A",N_Persone,1))</f>
        <v/>
      </c>
      <c r="M32" s="13">
        <f>IF(H32="","",IF(LEFT(UPPER(J32),1)="A",K32,K32/N_Persone))</f>
        <v/>
      </c>
      <c r="N32" s="11" t="n"/>
      <c r="O32" s="10" t="n"/>
      <c r="P32" s="11" t="n"/>
      <c r="Q32" s="10" t="n"/>
    </row>
    <row r="33" ht="26" customHeight="1">
      <c r="A33" s="10" t="n"/>
      <c r="B33" s="11" t="n"/>
      <c r="C33" s="10" t="n"/>
      <c r="D33" s="10" t="n"/>
      <c r="E33" s="9" t="n"/>
      <c r="F33" s="12">
        <f>IF(E33="","",E33-TODAY())</f>
        <v/>
      </c>
      <c r="G33" s="10" t="n"/>
      <c r="H33" s="20" t="n"/>
      <c r="I33" s="11" t="n"/>
      <c r="J33" s="11" t="n"/>
      <c r="K33" s="13">
        <f>IF(H33="","",IF(UPPER(I33)="JPY",H33/Tasso_JPY_EUR,H33))</f>
        <v/>
      </c>
      <c r="L33" s="13">
        <f>IF(H33="","",K33*IF(LEFT(UPPER(J33),1)="A",N_Persone,1))</f>
        <v/>
      </c>
      <c r="M33" s="13">
        <f>IF(H33="","",IF(LEFT(UPPER(J33),1)="A",K33,K33/N_Persone))</f>
        <v/>
      </c>
      <c r="N33" s="11" t="n"/>
      <c r="O33" s="10" t="n"/>
      <c r="P33" s="11" t="n"/>
      <c r="Q33" s="10" t="n"/>
    </row>
    <row r="34" ht="26" customHeight="1">
      <c r="A34" s="10" t="n"/>
      <c r="B34" s="11" t="n"/>
      <c r="C34" s="10" t="n"/>
      <c r="D34" s="10" t="n"/>
      <c r="E34" s="9" t="n"/>
      <c r="F34" s="12">
        <f>IF(E34="","",E34-TODAY())</f>
        <v/>
      </c>
      <c r="G34" s="10" t="n"/>
      <c r="H34" s="20" t="n"/>
      <c r="I34" s="11" t="n"/>
      <c r="J34" s="11" t="n"/>
      <c r="K34" s="13">
        <f>IF(H34="","",IF(UPPER(I34)="JPY",H34/Tasso_JPY_EUR,H34))</f>
        <v/>
      </c>
      <c r="L34" s="13">
        <f>IF(H34="","",K34*IF(LEFT(UPPER(J34),1)="A",N_Persone,1))</f>
        <v/>
      </c>
      <c r="M34" s="13">
        <f>IF(H34="","",IF(LEFT(UPPER(J34),1)="A",K34,K34/N_Persone))</f>
        <v/>
      </c>
      <c r="N34" s="11" t="n"/>
      <c r="O34" s="10" t="n"/>
      <c r="P34" s="11" t="n"/>
      <c r="Q34" s="10" t="n"/>
    </row>
    <row r="35" ht="26" customHeight="1">
      <c r="A35" s="10" t="n"/>
      <c r="B35" s="11" t="n"/>
      <c r="C35" s="10" t="n"/>
      <c r="D35" s="10" t="n"/>
      <c r="E35" s="9" t="n"/>
      <c r="F35" s="12">
        <f>IF(E35="","",E35-TODAY())</f>
        <v/>
      </c>
      <c r="G35" s="10" t="n"/>
      <c r="H35" s="20" t="n"/>
      <c r="I35" s="11" t="n"/>
      <c r="J35" s="11" t="n"/>
      <c r="K35" s="13">
        <f>IF(H35="","",IF(UPPER(I35)="JPY",H35/Tasso_JPY_EUR,H35))</f>
        <v/>
      </c>
      <c r="L35" s="13">
        <f>IF(H35="","",K35*IF(LEFT(UPPER(J35),1)="A",N_Persone,1))</f>
        <v/>
      </c>
      <c r="M35" s="13">
        <f>IF(H35="","",IF(LEFT(UPPER(J35),1)="A",K35,K35/N_Persone))</f>
        <v/>
      </c>
      <c r="N35" s="11" t="n"/>
      <c r="O35" s="10" t="n"/>
      <c r="P35" s="11" t="n"/>
      <c r="Q35" s="10" t="n"/>
    </row>
    <row r="36" ht="26" customHeight="1">
      <c r="A36" s="10" t="n"/>
      <c r="B36" s="11" t="n"/>
      <c r="C36" s="10" t="n"/>
      <c r="D36" s="10" t="n"/>
      <c r="E36" s="9" t="n"/>
      <c r="F36" s="12">
        <f>IF(E36="","",E36-TODAY())</f>
        <v/>
      </c>
      <c r="G36" s="10" t="n"/>
      <c r="H36" s="20" t="n"/>
      <c r="I36" s="11" t="n"/>
      <c r="J36" s="11" t="n"/>
      <c r="K36" s="13">
        <f>IF(H36="","",IF(UPPER(I36)="JPY",H36/Tasso_JPY_EUR,H36))</f>
        <v/>
      </c>
      <c r="L36" s="13">
        <f>IF(H36="","",K36*IF(LEFT(UPPER(J36),1)="A",N_Persone,1))</f>
        <v/>
      </c>
      <c r="M36" s="13">
        <f>IF(H36="","",IF(LEFT(UPPER(J36),1)="A",K36,K36/N_Persone))</f>
        <v/>
      </c>
      <c r="N36" s="11" t="n"/>
      <c r="O36" s="10" t="n"/>
      <c r="P36" s="11" t="n"/>
      <c r="Q36" s="10" t="n"/>
    </row>
    <row r="37" ht="26" customHeight="1">
      <c r="A37" s="10" t="n"/>
      <c r="B37" s="11" t="n"/>
      <c r="C37" s="10" t="n"/>
      <c r="D37" s="10" t="n"/>
      <c r="E37" s="9" t="n"/>
      <c r="F37" s="12">
        <f>IF(E37="","",E37-TODAY())</f>
        <v/>
      </c>
      <c r="G37" s="10" t="n"/>
      <c r="H37" s="20" t="n"/>
      <c r="I37" s="11" t="n"/>
      <c r="J37" s="11" t="n"/>
      <c r="K37" s="13">
        <f>IF(H37="","",IF(UPPER(I37)="JPY",H37/Tasso_JPY_EUR,H37))</f>
        <v/>
      </c>
      <c r="L37" s="13">
        <f>IF(H37="","",K37*IF(LEFT(UPPER(J37),1)="A",N_Persone,1))</f>
        <v/>
      </c>
      <c r="M37" s="13">
        <f>IF(H37="","",IF(LEFT(UPPER(J37),1)="A",K37,K37/N_Persone))</f>
        <v/>
      </c>
      <c r="N37" s="11" t="n"/>
      <c r="O37" s="10" t="n"/>
      <c r="P37" s="11" t="n"/>
      <c r="Q37" s="10" t="n"/>
    </row>
    <row r="38" ht="26" customHeight="1">
      <c r="A38" s="10" t="n"/>
      <c r="B38" s="11" t="n"/>
      <c r="C38" s="10" t="n"/>
      <c r="D38" s="10" t="n"/>
      <c r="E38" s="9" t="n"/>
      <c r="F38" s="12">
        <f>IF(E38="","",E38-TODAY())</f>
        <v/>
      </c>
      <c r="G38" s="10" t="n"/>
      <c r="H38" s="20" t="n"/>
      <c r="I38" s="11" t="n"/>
      <c r="J38" s="11" t="n"/>
      <c r="K38" s="13">
        <f>IF(H38="","",IF(UPPER(I38)="JPY",H38/Tasso_JPY_EUR,H38))</f>
        <v/>
      </c>
      <c r="L38" s="13">
        <f>IF(H38="","",K38*IF(LEFT(UPPER(J38),1)="A",N_Persone,1))</f>
        <v/>
      </c>
      <c r="M38" s="13">
        <f>IF(H38="","",IF(LEFT(UPPER(J38),1)="A",K38,K38/N_Persone))</f>
        <v/>
      </c>
      <c r="N38" s="11" t="n"/>
      <c r="O38" s="10" t="n"/>
      <c r="P38" s="11" t="n"/>
      <c r="Q38" s="10" t="n"/>
    </row>
    <row r="39" ht="26" customHeight="1">
      <c r="A39" s="10" t="n"/>
      <c r="B39" s="11" t="n"/>
      <c r="C39" s="10" t="n"/>
      <c r="D39" s="10" t="n"/>
      <c r="E39" s="9" t="n"/>
      <c r="F39" s="12">
        <f>IF(E39="","",E39-TODAY())</f>
        <v/>
      </c>
      <c r="G39" s="10" t="n"/>
      <c r="H39" s="20" t="n"/>
      <c r="I39" s="11" t="n"/>
      <c r="J39" s="11" t="n"/>
      <c r="K39" s="13">
        <f>IF(H39="","",IF(UPPER(I39)="JPY",H39/Tasso_JPY_EUR,H39))</f>
        <v/>
      </c>
      <c r="L39" s="13">
        <f>IF(H39="","",K39*IF(LEFT(UPPER(J39),1)="A",N_Persone,1))</f>
        <v/>
      </c>
      <c r="M39" s="13">
        <f>IF(H39="","",IF(LEFT(UPPER(J39),1)="A",K39,K39/N_Persone))</f>
        <v/>
      </c>
      <c r="N39" s="11" t="n"/>
      <c r="O39" s="10" t="n"/>
      <c r="P39" s="11" t="n"/>
      <c r="Q39" s="10" t="n"/>
    </row>
    <row r="40" ht="26" customHeight="1">
      <c r="A40" s="10" t="n"/>
      <c r="B40" s="11" t="n"/>
      <c r="C40" s="10" t="n"/>
      <c r="D40" s="10" t="n"/>
      <c r="E40" s="9" t="n"/>
      <c r="F40" s="12">
        <f>IF(E40="","",E40-TODAY())</f>
        <v/>
      </c>
      <c r="G40" s="10" t="n"/>
      <c r="H40" s="20" t="n"/>
      <c r="I40" s="11" t="n"/>
      <c r="J40" s="11" t="n"/>
      <c r="K40" s="13">
        <f>IF(H40="","",IF(UPPER(I40)="JPY",H40/Tasso_JPY_EUR,H40))</f>
        <v/>
      </c>
      <c r="L40" s="13">
        <f>IF(H40="","",K40*IF(LEFT(UPPER(J40),1)="A",N_Persone,1))</f>
        <v/>
      </c>
      <c r="M40" s="13">
        <f>IF(H40="","",IF(LEFT(UPPER(J40),1)="A",K40,K40/N_Persone))</f>
        <v/>
      </c>
      <c r="N40" s="11" t="n"/>
      <c r="O40" s="10" t="n"/>
      <c r="P40" s="11" t="n"/>
      <c r="Q40" s="10" t="n"/>
    </row>
    <row r="41" ht="26" customHeight="1">
      <c r="A41" s="10" t="n"/>
      <c r="B41" s="11" t="n"/>
      <c r="C41" s="10" t="n"/>
      <c r="D41" s="10" t="n"/>
      <c r="E41" s="9" t="n"/>
      <c r="F41" s="12">
        <f>IF(E41="","",E41-TODAY())</f>
        <v/>
      </c>
      <c r="G41" s="10" t="n"/>
      <c r="H41" s="20" t="n"/>
      <c r="I41" s="11" t="n"/>
      <c r="J41" s="11" t="n"/>
      <c r="K41" s="13">
        <f>IF(H41="","",IF(UPPER(I41)="JPY",H41/Tasso_JPY_EUR,H41))</f>
        <v/>
      </c>
      <c r="L41" s="13">
        <f>IF(H41="","",K41*IF(LEFT(UPPER(J41),1)="A",N_Persone,1))</f>
        <v/>
      </c>
      <c r="M41" s="13">
        <f>IF(H41="","",IF(LEFT(UPPER(J41),1)="A",K41,K41/N_Persone))</f>
        <v/>
      </c>
      <c r="N41" s="11" t="n"/>
      <c r="O41" s="10" t="n"/>
      <c r="P41" s="11" t="n"/>
      <c r="Q41" s="10" t="n"/>
    </row>
    <row r="42" ht="26" customHeight="1">
      <c r="A42" s="10" t="n"/>
      <c r="B42" s="11" t="n"/>
      <c r="C42" s="10" t="n"/>
      <c r="D42" s="10" t="n"/>
      <c r="E42" s="9" t="n"/>
      <c r="F42" s="12">
        <f>IF(E42="","",E42-TODAY())</f>
        <v/>
      </c>
      <c r="G42" s="10" t="n"/>
      <c r="H42" s="20" t="n"/>
      <c r="I42" s="11" t="n"/>
      <c r="J42" s="11" t="n"/>
      <c r="K42" s="13">
        <f>IF(H42="","",IF(UPPER(I42)="JPY",H42/Tasso_JPY_EUR,H42))</f>
        <v/>
      </c>
      <c r="L42" s="13">
        <f>IF(H42="","",K42*IF(LEFT(UPPER(J42),1)="A",N_Persone,1))</f>
        <v/>
      </c>
      <c r="M42" s="13">
        <f>IF(H42="","",IF(LEFT(UPPER(J42),1)="A",K42,K42/N_Persone))</f>
        <v/>
      </c>
      <c r="N42" s="11" t="n"/>
      <c r="O42" s="10" t="n"/>
      <c r="P42" s="11" t="n"/>
      <c r="Q42" s="10" t="n"/>
    </row>
    <row r="43" ht="26" customHeight="1">
      <c r="A43" s="10" t="n"/>
      <c r="B43" s="11" t="n"/>
      <c r="C43" s="10" t="n"/>
      <c r="D43" s="10" t="n"/>
      <c r="E43" s="9" t="n"/>
      <c r="F43" s="12">
        <f>IF(E43="","",E43-TODAY())</f>
        <v/>
      </c>
      <c r="G43" s="10" t="n"/>
      <c r="H43" s="20" t="n"/>
      <c r="I43" s="11" t="n"/>
      <c r="J43" s="11" t="n"/>
      <c r="K43" s="13">
        <f>IF(H43="","",IF(UPPER(I43)="JPY",H43/Tasso_JPY_EUR,H43))</f>
        <v/>
      </c>
      <c r="L43" s="13">
        <f>IF(H43="","",K43*IF(LEFT(UPPER(J43),1)="A",N_Persone,1))</f>
        <v/>
      </c>
      <c r="M43" s="13">
        <f>IF(H43="","",IF(LEFT(UPPER(J43),1)="A",K43,K43/N_Persone))</f>
        <v/>
      </c>
      <c r="N43" s="11" t="n"/>
      <c r="O43" s="10" t="n"/>
      <c r="P43" s="11" t="n"/>
      <c r="Q43" s="10" t="n"/>
    </row>
    <row r="44" ht="26" customHeight="1">
      <c r="A44" s="10" t="n"/>
      <c r="B44" s="11" t="n"/>
      <c r="C44" s="10" t="n"/>
      <c r="D44" s="10" t="n"/>
      <c r="E44" s="9" t="n"/>
      <c r="F44" s="12">
        <f>IF(E44="","",E44-TODAY())</f>
        <v/>
      </c>
      <c r="G44" s="10" t="n"/>
      <c r="H44" s="20" t="n"/>
      <c r="I44" s="11" t="n"/>
      <c r="J44" s="11" t="n"/>
      <c r="K44" s="13">
        <f>IF(H44="","",IF(UPPER(I44)="JPY",H44/Tasso_JPY_EUR,H44))</f>
        <v/>
      </c>
      <c r="L44" s="13">
        <f>IF(H44="","",K44*IF(LEFT(UPPER(J44),1)="A",N_Persone,1))</f>
        <v/>
      </c>
      <c r="M44" s="13">
        <f>IF(H44="","",IF(LEFT(UPPER(J44),1)="A",K44,K44/N_Persone))</f>
        <v/>
      </c>
      <c r="N44" s="11" t="n"/>
      <c r="O44" s="10" t="n"/>
      <c r="P44" s="11" t="n"/>
      <c r="Q44" s="10" t="n"/>
    </row>
    <row r="45" ht="26" customHeight="1">
      <c r="A45" s="10" t="n"/>
      <c r="B45" s="11" t="n"/>
      <c r="C45" s="10" t="n"/>
      <c r="D45" s="10" t="n"/>
      <c r="E45" s="9" t="n"/>
      <c r="F45" s="12">
        <f>IF(E45="","",E45-TODAY())</f>
        <v/>
      </c>
      <c r="G45" s="10" t="n"/>
      <c r="H45" s="20" t="n"/>
      <c r="I45" s="11" t="n"/>
      <c r="J45" s="11" t="n"/>
      <c r="K45" s="13">
        <f>IF(H45="","",IF(UPPER(I45)="JPY",H45/Tasso_JPY_EUR,H45))</f>
        <v/>
      </c>
      <c r="L45" s="13">
        <f>IF(H45="","",K45*IF(LEFT(UPPER(J45),1)="A",N_Persone,1))</f>
        <v/>
      </c>
      <c r="M45" s="13">
        <f>IF(H45="","",IF(LEFT(UPPER(J45),1)="A",K45,K45/N_Persone))</f>
        <v/>
      </c>
      <c r="N45" s="11" t="n"/>
      <c r="O45" s="10" t="n"/>
      <c r="P45" s="11" t="n"/>
      <c r="Q45" s="10" t="n"/>
    </row>
    <row r="46" ht="26" customHeight="1">
      <c r="A46" s="10" t="n"/>
      <c r="B46" s="11" t="n"/>
      <c r="C46" s="10" t="n"/>
      <c r="D46" s="10" t="n"/>
      <c r="E46" s="9" t="n"/>
      <c r="F46" s="12">
        <f>IF(E46="","",E46-TODAY())</f>
        <v/>
      </c>
      <c r="G46" s="10" t="n"/>
      <c r="H46" s="20" t="n"/>
      <c r="I46" s="11" t="n"/>
      <c r="J46" s="11" t="n"/>
      <c r="K46" s="13">
        <f>IF(H46="","",IF(UPPER(I46)="JPY",H46/Tasso_JPY_EUR,H46))</f>
        <v/>
      </c>
      <c r="L46" s="13">
        <f>IF(H46="","",K46*IF(LEFT(UPPER(J46),1)="A",N_Persone,1))</f>
        <v/>
      </c>
      <c r="M46" s="13">
        <f>IF(H46="","",IF(LEFT(UPPER(J46),1)="A",K46,K46/N_Persone))</f>
        <v/>
      </c>
      <c r="N46" s="11" t="n"/>
      <c r="O46" s="10" t="n"/>
      <c r="P46" s="11" t="n"/>
      <c r="Q46" s="10" t="n"/>
    </row>
    <row r="47" ht="26" customHeight="1">
      <c r="A47" s="10" t="n"/>
      <c r="B47" s="11" t="n"/>
      <c r="C47" s="10" t="n"/>
      <c r="D47" s="10" t="n"/>
      <c r="E47" s="9" t="n"/>
      <c r="F47" s="12">
        <f>IF(E47="","",E47-TODAY())</f>
        <v/>
      </c>
      <c r="G47" s="10" t="n"/>
      <c r="H47" s="20" t="n"/>
      <c r="I47" s="11" t="n"/>
      <c r="J47" s="11" t="n"/>
      <c r="K47" s="13">
        <f>IF(H47="","",IF(UPPER(I47)="JPY",H47/Tasso_JPY_EUR,H47))</f>
        <v/>
      </c>
      <c r="L47" s="13">
        <f>IF(H47="","",K47*IF(LEFT(UPPER(J47),1)="A",N_Persone,1))</f>
        <v/>
      </c>
      <c r="M47" s="13">
        <f>IF(H47="","",IF(LEFT(UPPER(J47),1)="A",K47,K47/N_Persone))</f>
        <v/>
      </c>
      <c r="N47" s="11" t="n"/>
      <c r="O47" s="10" t="n"/>
      <c r="P47" s="11" t="n"/>
      <c r="Q47" s="10" t="n"/>
    </row>
    <row r="48" ht="26" customHeight="1">
      <c r="A48" s="10" t="n"/>
      <c r="B48" s="11" t="n"/>
      <c r="C48" s="10" t="n"/>
      <c r="D48" s="10" t="n"/>
      <c r="E48" s="9" t="n"/>
      <c r="F48" s="12">
        <f>IF(E48="","",E48-TODAY())</f>
        <v/>
      </c>
      <c r="G48" s="10" t="n"/>
      <c r="H48" s="20" t="n"/>
      <c r="I48" s="11" t="n"/>
      <c r="J48" s="11" t="n"/>
      <c r="K48" s="13">
        <f>IF(H48="","",IF(UPPER(I48)="JPY",H48/Tasso_JPY_EUR,H48))</f>
        <v/>
      </c>
      <c r="L48" s="13">
        <f>IF(H48="","",K48*IF(LEFT(UPPER(J48),1)="A",N_Persone,1))</f>
        <v/>
      </c>
      <c r="M48" s="13">
        <f>IF(H48="","",IF(LEFT(UPPER(J48),1)="A",K48,K48/N_Persone))</f>
        <v/>
      </c>
      <c r="N48" s="11" t="n"/>
      <c r="O48" s="10" t="n"/>
      <c r="P48" s="11" t="n"/>
      <c r="Q48" s="10" t="n"/>
    </row>
    <row r="49" ht="26" customHeight="1">
      <c r="A49" s="10" t="n"/>
      <c r="B49" s="11" t="n"/>
      <c r="C49" s="10" t="n"/>
      <c r="D49" s="10" t="n"/>
      <c r="E49" s="9" t="n"/>
      <c r="F49" s="12">
        <f>IF(E49="","",E49-TODAY())</f>
        <v/>
      </c>
      <c r="G49" s="10" t="n"/>
      <c r="H49" s="20" t="n"/>
      <c r="I49" s="11" t="n"/>
      <c r="J49" s="11" t="n"/>
      <c r="K49" s="13">
        <f>IF(H49="","",IF(UPPER(I49)="JPY",H49/Tasso_JPY_EUR,H49))</f>
        <v/>
      </c>
      <c r="L49" s="13">
        <f>IF(H49="","",K49*IF(LEFT(UPPER(J49),1)="A",N_Persone,1))</f>
        <v/>
      </c>
      <c r="M49" s="13">
        <f>IF(H49="","",IF(LEFT(UPPER(J49),1)="A",K49,K49/N_Persone))</f>
        <v/>
      </c>
      <c r="N49" s="11" t="n"/>
      <c r="O49" s="10" t="n"/>
      <c r="P49" s="11" t="n"/>
      <c r="Q49" s="10" t="n"/>
    </row>
    <row r="50" ht="26" customHeight="1">
      <c r="A50" s="10" t="n"/>
      <c r="B50" s="11" t="n"/>
      <c r="C50" s="10" t="n"/>
      <c r="D50" s="10" t="n"/>
      <c r="E50" s="9" t="n"/>
      <c r="F50" s="12">
        <f>IF(E50="","",E50-TODAY())</f>
        <v/>
      </c>
      <c r="G50" s="10" t="n"/>
      <c r="H50" s="20" t="n"/>
      <c r="I50" s="11" t="n"/>
      <c r="J50" s="11" t="n"/>
      <c r="K50" s="13">
        <f>IF(H50="","",IF(UPPER(I50)="JPY",H50/Tasso_JPY_EUR,H50))</f>
        <v/>
      </c>
      <c r="L50" s="13">
        <f>IF(H50="","",K50*IF(LEFT(UPPER(J50),1)="A",N_Persone,1))</f>
        <v/>
      </c>
      <c r="M50" s="13">
        <f>IF(H50="","",IF(LEFT(UPPER(J50),1)="A",K50,K50/N_Persone))</f>
        <v/>
      </c>
      <c r="N50" s="11" t="n"/>
      <c r="O50" s="10" t="n"/>
      <c r="P50" s="11" t="n"/>
      <c r="Q50" s="10" t="n"/>
    </row>
    <row r="51" ht="26" customHeight="1">
      <c r="A51" s="10" t="n"/>
      <c r="B51" s="11" t="n"/>
      <c r="C51" s="10" t="n"/>
      <c r="D51" s="10" t="n"/>
      <c r="E51" s="9" t="n"/>
      <c r="F51" s="12">
        <f>IF(E51="","",E51-TODAY())</f>
        <v/>
      </c>
      <c r="G51" s="10" t="n"/>
      <c r="H51" s="20" t="n"/>
      <c r="I51" s="11" t="n"/>
      <c r="J51" s="11" t="n"/>
      <c r="K51" s="13">
        <f>IF(H51="","",IF(UPPER(I51)="JPY",H51/Tasso_JPY_EUR,H51))</f>
        <v/>
      </c>
      <c r="L51" s="13">
        <f>IF(H51="","",K51*IF(LEFT(UPPER(J51),1)="A",N_Persone,1))</f>
        <v/>
      </c>
      <c r="M51" s="13">
        <f>IF(H51="","",IF(LEFT(UPPER(J51),1)="A",K51,K51/N_Persone))</f>
        <v/>
      </c>
      <c r="N51" s="11" t="n"/>
      <c r="O51" s="10" t="n"/>
      <c r="P51" s="11" t="n"/>
      <c r="Q51" s="10" t="n"/>
    </row>
    <row r="52" ht="26" customHeight="1">
      <c r="A52" s="10" t="n"/>
      <c r="B52" s="11" t="n"/>
      <c r="C52" s="10" t="n"/>
      <c r="D52" s="10" t="n"/>
      <c r="E52" s="9" t="n"/>
      <c r="F52" s="12">
        <f>IF(E52="","",E52-TODAY())</f>
        <v/>
      </c>
      <c r="G52" s="10" t="n"/>
      <c r="H52" s="20" t="n"/>
      <c r="I52" s="11" t="n"/>
      <c r="J52" s="11" t="n"/>
      <c r="K52" s="13">
        <f>IF(H52="","",IF(UPPER(I52)="JPY",H52/Tasso_JPY_EUR,H52))</f>
        <v/>
      </c>
      <c r="L52" s="13">
        <f>IF(H52="","",K52*IF(LEFT(UPPER(J52),1)="A",N_Persone,1))</f>
        <v/>
      </c>
      <c r="M52" s="13">
        <f>IF(H52="","",IF(LEFT(UPPER(J52),1)="A",K52,K52/N_Persone))</f>
        <v/>
      </c>
      <c r="N52" s="11" t="n"/>
      <c r="O52" s="10" t="n"/>
      <c r="P52" s="11" t="n"/>
      <c r="Q52" s="10" t="n"/>
    </row>
    <row r="53" ht="26" customHeight="1">
      <c r="A53" s="10" t="n"/>
      <c r="B53" s="11" t="n"/>
      <c r="C53" s="10" t="n"/>
      <c r="D53" s="10" t="n"/>
      <c r="E53" s="9" t="n"/>
      <c r="F53" s="12">
        <f>IF(E53="","",E53-TODAY())</f>
        <v/>
      </c>
      <c r="G53" s="10" t="n"/>
      <c r="H53" s="20" t="n"/>
      <c r="I53" s="11" t="n"/>
      <c r="J53" s="11" t="n"/>
      <c r="K53" s="13">
        <f>IF(H53="","",IF(UPPER(I53)="JPY",H53/Tasso_JPY_EUR,H53))</f>
        <v/>
      </c>
      <c r="L53" s="13">
        <f>IF(H53="","",K53*IF(LEFT(UPPER(J53),1)="A",N_Persone,1))</f>
        <v/>
      </c>
      <c r="M53" s="13">
        <f>IF(H53="","",IF(LEFT(UPPER(J53),1)="A",K53,K53/N_Persone))</f>
        <v/>
      </c>
      <c r="N53" s="11" t="n"/>
      <c r="O53" s="10" t="n"/>
      <c r="P53" s="11" t="n"/>
      <c r="Q53" s="10" t="n"/>
    </row>
    <row r="54" ht="26" customHeight="1">
      <c r="A54" s="10" t="n"/>
      <c r="B54" s="11" t="n"/>
      <c r="C54" s="10" t="n"/>
      <c r="D54" s="10" t="n"/>
      <c r="E54" s="9" t="n"/>
      <c r="F54" s="12">
        <f>IF(E54="","",E54-TODAY())</f>
        <v/>
      </c>
      <c r="G54" s="10" t="n"/>
      <c r="H54" s="20" t="n"/>
      <c r="I54" s="11" t="n"/>
      <c r="J54" s="11" t="n"/>
      <c r="K54" s="13">
        <f>IF(H54="","",IF(UPPER(I54)="JPY",H54/Tasso_JPY_EUR,H54))</f>
        <v/>
      </c>
      <c r="L54" s="13">
        <f>IF(H54="","",K54*IF(LEFT(UPPER(J54),1)="A",N_Persone,1))</f>
        <v/>
      </c>
      <c r="M54" s="13">
        <f>IF(H54="","",IF(LEFT(UPPER(J54),1)="A",K54,K54/N_Persone))</f>
        <v/>
      </c>
      <c r="N54" s="11" t="n"/>
      <c r="O54" s="10" t="n"/>
      <c r="P54" s="11" t="n"/>
      <c r="Q54" s="10" t="n"/>
    </row>
    <row r="55">
      <c r="A55" s="15" t="inlineStr">
        <is>
          <t>TOTALE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7">
        <f>SUM(K5:K54)</f>
        <v/>
      </c>
      <c r="L55" s="17">
        <f>SUM(L5:L54)</f>
        <v/>
      </c>
      <c r="M55" s="17">
        <f>SUM(M5:M54)</f>
        <v/>
      </c>
      <c r="N55" s="16" t="n"/>
      <c r="O55" s="16" t="n"/>
      <c r="P55" s="16" t="n"/>
      <c r="Q55" s="16" t="n"/>
    </row>
  </sheetData>
  <mergeCells count="2">
    <mergeCell ref="A2:Q2"/>
    <mergeCell ref="A1:Q1"/>
  </mergeCells>
  <conditionalFormatting sqref="N5:N54">
    <cfRule type="cellIs" priority="1" operator="equal" dxfId="1">
      <formula>"Pagato"</formula>
    </cfRule>
    <cfRule type="cellIs" priority="2" operator="equal" dxfId="4">
      <formula>"Prenotato"</formula>
    </cfRule>
    <cfRule type="cellIs" priority="3" operator="equal" dxfId="5">
      <formula>"Da fare"</formula>
    </cfRule>
    <cfRule type="cellIs" priority="4" operator="equal" dxfId="2">
      <formula>"Annullato"</formula>
    </cfRule>
    <cfRule type="cellIs" priority="5" operator="equal" dxfId="3">
      <formula>"Opzionale"</formula>
    </cfRule>
  </conditionalFormatting>
  <conditionalFormatting sqref="F5:F54">
    <cfRule type="cellIs" priority="6" operator="lessThanOrEqual" dxfId="6">
      <formula>0</formula>
    </cfRule>
    <cfRule type="cellIs" priority="7" operator="between" dxfId="7">
      <formula>1</formula>
      <formula>7</formula>
    </cfRule>
    <cfRule type="cellIs" priority="8" operator="between" dxfId="0">
      <formula>8</formula>
      <formula>30</formula>
    </cfRule>
  </conditionalFormatting>
  <dataValidations count="5">
    <dataValidation sqref="B5:B54" showDropDown="0" showInputMessage="0" showErrorMessage="0" allowBlank="1" type="list">
      <formula1>=ListaCategorie</formula1>
    </dataValidation>
    <dataValidation sqref="I5:I54" showDropDown="0" showInputMessage="0" showErrorMessage="0" allowBlank="1" type="list">
      <formula1>=ListaValute</formula1>
    </dataValidation>
    <dataValidation sqref="J5:J54" showDropDown="0" showInputMessage="0" showErrorMessage="0" allowBlank="1" type="list">
      <formula1>=ListaTipo</formula1>
    </dataValidation>
    <dataValidation sqref="N5:N54" showDropDown="0" showInputMessage="0" showErrorMessage="0" allowBlank="1" type="list">
      <formula1>=ListaStati</formula1>
    </dataValidation>
    <dataValidation sqref="P5:P54" showDropDown="0" showInputMessage="0" showErrorMessage="0" allowBlank="1" type="list">
      <formula1>=ListaPriorita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A05B"/>
    <outlinePr summaryBelow="1" summaryRight="1"/>
    <pageSetUpPr/>
  </sheetPr>
  <dimension ref="A1:N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40" customWidth="1" min="4" max="4"/>
    <col width="11" customWidth="1" min="5" max="5"/>
    <col width="7" customWidth="1" min="6" max="6"/>
    <col width="12" customWidth="1" min="7" max="7"/>
    <col width="13" customWidth="1" min="8" max="8"/>
    <col width="6" customWidth="1" min="9" max="9"/>
    <col width="6" customWidth="1" min="10" max="10"/>
    <col width="6" customWidth="1" min="11" max="11"/>
    <col width="9" customWidth="1" min="12" max="12"/>
    <col width="12" customWidth="1" min="13" max="13"/>
    <col width="34" customWidth="1" min="14" max="14"/>
  </cols>
  <sheetData>
    <row r="1" ht="38" customHeight="1">
      <c r="A1" s="1" t="inlineStr">
        <is>
          <t>SPESE — Registro spese (stile Tricount)</t>
        </is>
      </c>
    </row>
    <row r="2" ht="18" customHeight="1">
      <c r="A2" s="2" t="inlineStr">
        <is>
          <t>Inserisci l'importo TOTALE, chi ha pagato e spunta con 'X' chi la divide. Importo €, quota/persona e saldi si calcolano da soli.</t>
        </is>
      </c>
    </row>
    <row r="4" ht="30" customHeight="1">
      <c r="A4" s="8" t="inlineStr">
        <is>
          <t>Data</t>
        </is>
      </c>
      <c r="B4" s="8" t="inlineStr">
        <is>
          <t>Giorno</t>
        </is>
      </c>
      <c r="C4" s="8" t="inlineStr">
        <is>
          <t>Categoria</t>
        </is>
      </c>
      <c r="D4" s="8" t="inlineStr">
        <is>
          <t>Descrizione</t>
        </is>
      </c>
      <c r="E4" s="8" t="inlineStr">
        <is>
          <t>Importo</t>
        </is>
      </c>
      <c r="F4" s="8" t="inlineStr">
        <is>
          <t>Valuta</t>
        </is>
      </c>
      <c r="G4" s="8" t="inlineStr">
        <is>
          <t>Importo €</t>
        </is>
      </c>
      <c r="H4" s="8" t="inlineStr">
        <is>
          <t>Pagato da</t>
        </is>
      </c>
      <c r="I4" s="8">
        <f>CONFIG!$B$15</f>
        <v/>
      </c>
      <c r="J4" s="8">
        <f>CONFIG!$B$16</f>
        <v/>
      </c>
      <c r="K4" s="8">
        <f>CONFIG!$B$17</f>
        <v/>
      </c>
      <c r="L4" s="8" t="inlineStr">
        <is>
          <t>N° partec.</t>
        </is>
      </c>
      <c r="M4" s="8" t="inlineStr">
        <is>
          <t>Quota/persona €</t>
        </is>
      </c>
      <c r="N4" s="8" t="inlineStr">
        <is>
          <t>Note</t>
        </is>
      </c>
    </row>
    <row r="5" ht="20" customHeight="1">
      <c r="A5" s="21" t="n">
        <v>46243</v>
      </c>
      <c r="B5" s="22">
        <f>IF(A5="","",IF(A5&lt;DataPartenza,"pre",MAX(1,A5-DataPartenza)))</f>
        <v/>
      </c>
      <c r="C5" s="10" t="inlineStr">
        <is>
          <t>Voli</t>
        </is>
      </c>
      <c r="D5" s="10" t="inlineStr">
        <is>
          <t>Volo A/R China Eastern (open-jaw)</t>
        </is>
      </c>
      <c r="E5" s="10" t="n">
        <v>3288.99</v>
      </c>
      <c r="F5" s="11" t="inlineStr">
        <is>
          <t>EUR</t>
        </is>
      </c>
      <c r="G5" s="23">
        <f>IF(E5="","",IF(UPPER(F5)="JPY",E5/Tasso_JPY_EUR,E5))</f>
        <v/>
      </c>
      <c r="H5" s="10" t="inlineStr"/>
      <c r="I5" s="11" t="inlineStr">
        <is>
          <t>X</t>
        </is>
      </c>
      <c r="J5" s="11" t="inlineStr">
        <is>
          <t>X</t>
        </is>
      </c>
      <c r="K5" s="11" t="inlineStr">
        <is>
          <t>X</t>
        </is>
      </c>
      <c r="L5" s="12">
        <f>COUNTIF(I5:K5,"X")</f>
        <v/>
      </c>
      <c r="M5" s="24">
        <f>IF(OR(G5="",L5=0),0,G5/L5)</f>
        <v/>
      </c>
      <c r="N5" s="10" t="inlineStr">
        <is>
          <t>totale 3 pax · ordine 09/08/26</t>
        </is>
      </c>
    </row>
    <row r="6" ht="20" customHeight="1">
      <c r="A6" s="21" t="n">
        <v>46243</v>
      </c>
      <c r="B6" s="22">
        <f>IF(A6="","",IF(A6&lt;DataPartenza,"pre",MAX(1,A6-DataPartenza)))</f>
        <v/>
      </c>
      <c r="C6" s="10" t="inlineStr">
        <is>
          <t>Alloggio</t>
        </is>
      </c>
      <c r="D6" s="10" t="inlineStr">
        <is>
          <t>KURA Hotel Izumisano (1 notte)</t>
        </is>
      </c>
      <c r="E6" s="10" t="n">
        <v>80.01000000000001</v>
      </c>
      <c r="F6" s="11" t="inlineStr">
        <is>
          <t>EUR</t>
        </is>
      </c>
      <c r="G6" s="23">
        <f>IF(E6="","",IF(UPPER(F6)="JPY",E6/Tasso_JPY_EUR,E6))</f>
        <v/>
      </c>
      <c r="H6" s="10" t="inlineStr"/>
      <c r="I6" s="11" t="inlineStr">
        <is>
          <t>X</t>
        </is>
      </c>
      <c r="J6" s="11" t="inlineStr">
        <is>
          <t>X</t>
        </is>
      </c>
      <c r="K6" s="11" t="inlineStr">
        <is>
          <t>X</t>
        </is>
      </c>
      <c r="L6" s="12">
        <f>COUNTIF(I6:K6,"X")</f>
        <v/>
      </c>
      <c r="M6" s="24">
        <f>IF(OR(G6="",L6=0),0,G6/L6)</f>
        <v/>
      </c>
      <c r="N6" s="10" t="inlineStr">
        <is>
          <t>24–25 ott</t>
        </is>
      </c>
    </row>
    <row r="7" ht="20" customHeight="1">
      <c r="A7" s="21" t="n">
        <v>46243</v>
      </c>
      <c r="B7" s="22">
        <f>IF(A7="","",IF(A7&lt;DataPartenza,"pre",MAX(1,A7-DataPartenza)))</f>
        <v/>
      </c>
      <c r="C7" s="10" t="inlineStr">
        <is>
          <t>Alloggio</t>
        </is>
      </c>
      <c r="D7" s="10" t="inlineStr">
        <is>
          <t>Hanazonocho Apartment 103 (4 notti)</t>
        </is>
      </c>
      <c r="E7" s="10" t="n">
        <v>222.99</v>
      </c>
      <c r="F7" s="11" t="inlineStr">
        <is>
          <t>EUR</t>
        </is>
      </c>
      <c r="G7" s="23">
        <f>IF(E7="","",IF(UPPER(F7)="JPY",E7/Tasso_JPY_EUR,E7))</f>
        <v/>
      </c>
      <c r="H7" s="10" t="inlineStr"/>
      <c r="I7" s="11" t="inlineStr">
        <is>
          <t>X</t>
        </is>
      </c>
      <c r="J7" s="11" t="inlineStr">
        <is>
          <t>X</t>
        </is>
      </c>
      <c r="K7" s="11" t="inlineStr">
        <is>
          <t>X</t>
        </is>
      </c>
      <c r="L7" s="12">
        <f>COUNTIF(I7:K7,"X")</f>
        <v/>
      </c>
      <c r="M7" s="24">
        <f>IF(OR(G7="",L7=0),0,G7/L7)</f>
        <v/>
      </c>
      <c r="N7" s="10" t="inlineStr">
        <is>
          <t>25–29 ott</t>
        </is>
      </c>
    </row>
    <row r="8" ht="20" customHeight="1">
      <c r="A8" s="21" t="n">
        <v>46243</v>
      </c>
      <c r="B8" s="22">
        <f>IF(A8="","",IF(A8&lt;DataPartenza,"pre",MAX(1,A8-DataPartenza)))</f>
        <v/>
      </c>
      <c r="C8" s="10" t="inlineStr">
        <is>
          <t>Alloggio</t>
        </is>
      </c>
      <c r="D8" s="10" t="inlineStr">
        <is>
          <t>Miro Kyoto Nijo Hotel (3 notti)</t>
        </is>
      </c>
      <c r="E8" s="10" t="n">
        <v>257.16</v>
      </c>
      <c r="F8" s="11" t="inlineStr">
        <is>
          <t>EUR</t>
        </is>
      </c>
      <c r="G8" s="23">
        <f>IF(E8="","",IF(UPPER(F8)="JPY",E8/Tasso_JPY_EUR,E8))</f>
        <v/>
      </c>
      <c r="H8" s="10" t="inlineStr"/>
      <c r="I8" s="11" t="inlineStr">
        <is>
          <t>X</t>
        </is>
      </c>
      <c r="J8" s="11" t="inlineStr">
        <is>
          <t>X</t>
        </is>
      </c>
      <c r="K8" s="11" t="inlineStr">
        <is>
          <t>X</t>
        </is>
      </c>
      <c r="L8" s="12">
        <f>COUNTIF(I8:K8,"X")</f>
        <v/>
      </c>
      <c r="M8" s="24">
        <f>IF(OR(G8="",L8=0),0,G8/L8)</f>
        <v/>
      </c>
      <c r="N8" s="10" t="inlineStr">
        <is>
          <t>29 ott–1 nov</t>
        </is>
      </c>
    </row>
    <row r="9" ht="20" customHeight="1">
      <c r="A9" s="21" t="n">
        <v>46243</v>
      </c>
      <c r="B9" s="22">
        <f>IF(A9="","",IF(A9&lt;DataPartenza,"pre",MAX(1,A9-DataPartenza)))</f>
        <v/>
      </c>
      <c r="C9" s="10" t="inlineStr">
        <is>
          <t>Alloggio</t>
        </is>
      </c>
      <c r="D9" s="10" t="inlineStr">
        <is>
          <t>Taito City Guesthouse (5 notti)</t>
        </is>
      </c>
      <c r="E9" s="10" t="n">
        <v>519.51</v>
      </c>
      <c r="F9" s="11" t="inlineStr">
        <is>
          <t>EUR</t>
        </is>
      </c>
      <c r="G9" s="23">
        <f>IF(E9="","",IF(UPPER(F9)="JPY",E9/Tasso_JPY_EUR,E9))</f>
        <v/>
      </c>
      <c r="H9" s="10" t="inlineStr"/>
      <c r="I9" s="11" t="inlineStr">
        <is>
          <t>X</t>
        </is>
      </c>
      <c r="J9" s="11" t="inlineStr">
        <is>
          <t>X</t>
        </is>
      </c>
      <c r="K9" s="11" t="inlineStr">
        <is>
          <t>X</t>
        </is>
      </c>
      <c r="L9" s="12">
        <f>COUNTIF(I9:K9,"X")</f>
        <v/>
      </c>
      <c r="M9" s="24">
        <f>IF(OR(G9="",L9=0),0,G9/L9)</f>
        <v/>
      </c>
      <c r="N9" s="10" t="inlineStr">
        <is>
          <t>1–6 nov</t>
        </is>
      </c>
    </row>
    <row r="10" ht="20" customHeight="1">
      <c r="A10" s="21" t="n">
        <v>46270</v>
      </c>
      <c r="B10" s="22">
        <f>IF(A10="","",IF(A10&lt;DataPartenza,"pre",MAX(1,A10-DataPartenza)))</f>
        <v/>
      </c>
      <c r="C10" s="10" t="inlineStr">
        <is>
          <t>Ingressi/Attività</t>
        </is>
      </c>
      <c r="D10" s="10" t="inlineStr">
        <is>
          <t>USJ 1-day + Super Nintendo World + voucher</t>
        </is>
      </c>
      <c r="E10" s="10" t="n">
        <v>264.75</v>
      </c>
      <c r="F10" s="11" t="inlineStr">
        <is>
          <t>EUR</t>
        </is>
      </c>
      <c r="G10" s="23">
        <f>IF(E10="","",IF(UPPER(F10)="JPY",E10/Tasso_JPY_EUR,E10))</f>
        <v/>
      </c>
      <c r="H10" s="10" t="inlineStr"/>
      <c r="I10" s="11" t="inlineStr">
        <is>
          <t>X</t>
        </is>
      </c>
      <c r="J10" s="11" t="inlineStr">
        <is>
          <t>X</t>
        </is>
      </c>
      <c r="K10" s="11" t="inlineStr">
        <is>
          <t>X</t>
        </is>
      </c>
      <c r="L10" s="12">
        <f>COUNTIF(I10:K10,"X")</f>
        <v/>
      </c>
      <c r="M10" s="24">
        <f>IF(OR(G10="",L10=0),0,G10/L10)</f>
        <v/>
      </c>
      <c r="N10" s="10" t="inlineStr">
        <is>
          <t>27 ott</t>
        </is>
      </c>
    </row>
    <row r="11" ht="20" customHeight="1">
      <c r="A11" s="21" t="n">
        <v>46274</v>
      </c>
      <c r="B11" s="22">
        <f>IF(A11="","",IF(A11&lt;DataPartenza,"pre",MAX(1,A11-DataPartenza)))</f>
        <v/>
      </c>
      <c r="C11" s="10" t="inlineStr">
        <is>
          <t>Ingressi/Attività</t>
        </is>
      </c>
      <c r="D11" s="10" t="inlineStr">
        <is>
          <t>Sanrio Puroland Day Passport</t>
        </is>
      </c>
      <c r="E11" s="10" t="n">
        <v>59.91</v>
      </c>
      <c r="F11" s="11" t="inlineStr">
        <is>
          <t>EUR</t>
        </is>
      </c>
      <c r="G11" s="23">
        <f>IF(E11="","",IF(UPPER(F11)="JPY",E11/Tasso_JPY_EUR,E11))</f>
        <v/>
      </c>
      <c r="H11" s="10" t="inlineStr"/>
      <c r="I11" s="11" t="inlineStr">
        <is>
          <t>X</t>
        </is>
      </c>
      <c r="J11" s="11" t="inlineStr">
        <is>
          <t>X</t>
        </is>
      </c>
      <c r="K11" s="11" t="inlineStr">
        <is>
          <t>X</t>
        </is>
      </c>
      <c r="L11" s="12">
        <f>COUNTIF(I11:K11,"X")</f>
        <v/>
      </c>
      <c r="M11" s="24">
        <f>IF(OR(G11="",L11=0),0,G11/L11)</f>
        <v/>
      </c>
      <c r="N11" s="10" t="inlineStr">
        <is>
          <t>3 nov</t>
        </is>
      </c>
    </row>
    <row r="12" ht="20" customHeight="1">
      <c r="A12" s="21" t="n">
        <v>46274</v>
      </c>
      <c r="B12" s="22">
        <f>IF(A12="","",IF(A12&lt;DataPartenza,"pre",MAX(1,A12-DataPartenza)))</f>
        <v/>
      </c>
      <c r="C12" s="10" t="inlineStr">
        <is>
          <t>Assicurazione</t>
        </is>
      </c>
      <c r="D12" s="10" t="inlineStr">
        <is>
          <t>Assicurazione sanitaria</t>
        </is>
      </c>
      <c r="E12" s="10" t="n">
        <v>160.29</v>
      </c>
      <c r="F12" s="11" t="inlineStr">
        <is>
          <t>EUR</t>
        </is>
      </c>
      <c r="G12" s="23">
        <f>IF(E12="","",IF(UPPER(F12)="JPY",E12/Tasso_JPY_EUR,E12))</f>
        <v/>
      </c>
      <c r="H12" s="10" t="inlineStr"/>
      <c r="I12" s="11" t="inlineStr">
        <is>
          <t>X</t>
        </is>
      </c>
      <c r="J12" s="11" t="inlineStr">
        <is>
          <t>X</t>
        </is>
      </c>
      <c r="K12" s="11" t="inlineStr">
        <is>
          <t>X</t>
        </is>
      </c>
      <c r="L12" s="12">
        <f>COUNTIF(I12:K12,"X")</f>
        <v/>
      </c>
      <c r="M12" s="24">
        <f>IF(OR(G12="",L12=0),0,G12/L12)</f>
        <v/>
      </c>
      <c r="N12" s="10" t="inlineStr">
        <is>
          <t>Provider e polizza da annotare</t>
        </is>
      </c>
    </row>
    <row r="13" ht="20" customHeight="1">
      <c r="A13" s="21" t="n"/>
      <c r="B13" s="22">
        <f>IF(A13="","",IF(A13&lt;DataPartenza,"pre",MAX(1,A13-DataPartenza)))</f>
        <v/>
      </c>
      <c r="C13" s="10" t="n"/>
      <c r="D13" s="10" t="n"/>
      <c r="E13" s="10" t="n"/>
      <c r="F13" s="11" t="n"/>
      <c r="G13" s="23">
        <f>IF(E13="","",IF(UPPER(F13)="JPY",E13/Tasso_JPY_EUR,E13))</f>
        <v/>
      </c>
      <c r="H13" s="10" t="n"/>
      <c r="I13" s="11" t="n"/>
      <c r="J13" s="11" t="n"/>
      <c r="K13" s="11" t="n"/>
      <c r="L13" s="12">
        <f>COUNTIF(I13:K13,"X")</f>
        <v/>
      </c>
      <c r="M13" s="24">
        <f>IF(OR(G13="",L13=0),0,G13/L13)</f>
        <v/>
      </c>
      <c r="N13" s="10" t="n"/>
    </row>
    <row r="14" ht="20" customHeight="1">
      <c r="A14" s="21" t="n"/>
      <c r="B14" s="22">
        <f>IF(A14="","",IF(A14&lt;DataPartenza,"pre",MAX(1,A14-DataPartenza)))</f>
        <v/>
      </c>
      <c r="C14" s="10" t="n"/>
      <c r="D14" s="10" t="n"/>
      <c r="E14" s="10" t="n"/>
      <c r="F14" s="11" t="n"/>
      <c r="G14" s="23">
        <f>IF(E14="","",IF(UPPER(F14)="JPY",E14/Tasso_JPY_EUR,E14))</f>
        <v/>
      </c>
      <c r="H14" s="10" t="n"/>
      <c r="I14" s="11" t="n"/>
      <c r="J14" s="11" t="n"/>
      <c r="K14" s="11" t="n"/>
      <c r="L14" s="12">
        <f>COUNTIF(I14:K14,"X")</f>
        <v/>
      </c>
      <c r="M14" s="24">
        <f>IF(OR(G14="",L14=0),0,G14/L14)</f>
        <v/>
      </c>
      <c r="N14" s="10" t="n"/>
    </row>
    <row r="15" ht="20" customHeight="1">
      <c r="A15" s="21" t="n"/>
      <c r="B15" s="22">
        <f>IF(A15="","",IF(A15&lt;DataPartenza,"pre",MAX(1,A15-DataPartenza)))</f>
        <v/>
      </c>
      <c r="C15" s="10" t="n"/>
      <c r="D15" s="10" t="n"/>
      <c r="E15" s="10" t="n"/>
      <c r="F15" s="11" t="n"/>
      <c r="G15" s="23">
        <f>IF(E15="","",IF(UPPER(F15)="JPY",E15/Tasso_JPY_EUR,E15))</f>
        <v/>
      </c>
      <c r="H15" s="10" t="n"/>
      <c r="I15" s="11" t="n"/>
      <c r="J15" s="11" t="n"/>
      <c r="K15" s="11" t="n"/>
      <c r="L15" s="12">
        <f>COUNTIF(I15:K15,"X")</f>
        <v/>
      </c>
      <c r="M15" s="24">
        <f>IF(OR(G15="",L15=0),0,G15/L15)</f>
        <v/>
      </c>
      <c r="N15" s="10" t="n"/>
    </row>
    <row r="16" ht="20" customHeight="1">
      <c r="A16" s="21" t="n"/>
      <c r="B16" s="22">
        <f>IF(A16="","",IF(A16&lt;DataPartenza,"pre",MAX(1,A16-DataPartenza)))</f>
        <v/>
      </c>
      <c r="C16" s="10" t="n"/>
      <c r="D16" s="10" t="n"/>
      <c r="E16" s="10" t="n"/>
      <c r="F16" s="11" t="n"/>
      <c r="G16" s="23">
        <f>IF(E16="","",IF(UPPER(F16)="JPY",E16/Tasso_JPY_EUR,E16))</f>
        <v/>
      </c>
      <c r="H16" s="10" t="n"/>
      <c r="I16" s="11" t="n"/>
      <c r="J16" s="11" t="n"/>
      <c r="K16" s="11" t="n"/>
      <c r="L16" s="12">
        <f>COUNTIF(I16:K16,"X")</f>
        <v/>
      </c>
      <c r="M16" s="24">
        <f>IF(OR(G16="",L16=0),0,G16/L16)</f>
        <v/>
      </c>
      <c r="N16" s="10" t="n"/>
    </row>
    <row r="17" ht="20" customHeight="1">
      <c r="A17" s="21" t="n"/>
      <c r="B17" s="22">
        <f>IF(A17="","",IF(A17&lt;DataPartenza,"pre",MAX(1,A17-DataPartenza)))</f>
        <v/>
      </c>
      <c r="C17" s="10" t="n"/>
      <c r="D17" s="10" t="n"/>
      <c r="E17" s="10" t="n"/>
      <c r="F17" s="11" t="n"/>
      <c r="G17" s="23">
        <f>IF(E17="","",IF(UPPER(F17)="JPY",E17/Tasso_JPY_EUR,E17))</f>
        <v/>
      </c>
      <c r="H17" s="10" t="n"/>
      <c r="I17" s="11" t="n"/>
      <c r="J17" s="11" t="n"/>
      <c r="K17" s="11" t="n"/>
      <c r="L17" s="12">
        <f>COUNTIF(I17:K17,"X")</f>
        <v/>
      </c>
      <c r="M17" s="24">
        <f>IF(OR(G17="",L17=0),0,G17/L17)</f>
        <v/>
      </c>
      <c r="N17" s="10" t="n"/>
    </row>
    <row r="18" ht="20" customHeight="1">
      <c r="A18" s="21" t="n"/>
      <c r="B18" s="22">
        <f>IF(A18="","",IF(A18&lt;DataPartenza,"pre",MAX(1,A18-DataPartenza)))</f>
        <v/>
      </c>
      <c r="C18" s="10" t="n"/>
      <c r="D18" s="10" t="n"/>
      <c r="E18" s="10" t="n"/>
      <c r="F18" s="11" t="n"/>
      <c r="G18" s="23">
        <f>IF(E18="","",IF(UPPER(F18)="JPY",E18/Tasso_JPY_EUR,E18))</f>
        <v/>
      </c>
      <c r="H18" s="10" t="n"/>
      <c r="I18" s="11" t="n"/>
      <c r="J18" s="11" t="n"/>
      <c r="K18" s="11" t="n"/>
      <c r="L18" s="12">
        <f>COUNTIF(I18:K18,"X")</f>
        <v/>
      </c>
      <c r="M18" s="24">
        <f>IF(OR(G18="",L18=0),0,G18/L18)</f>
        <v/>
      </c>
      <c r="N18" s="10" t="n"/>
    </row>
    <row r="19" ht="20" customHeight="1">
      <c r="A19" s="21" t="n"/>
      <c r="B19" s="22">
        <f>IF(A19="","",IF(A19&lt;DataPartenza,"pre",MAX(1,A19-DataPartenza)))</f>
        <v/>
      </c>
      <c r="C19" s="10" t="n"/>
      <c r="D19" s="10" t="n"/>
      <c r="E19" s="10" t="n"/>
      <c r="F19" s="11" t="n"/>
      <c r="G19" s="23">
        <f>IF(E19="","",IF(UPPER(F19)="JPY",E19/Tasso_JPY_EUR,E19))</f>
        <v/>
      </c>
      <c r="H19" s="10" t="n"/>
      <c r="I19" s="11" t="n"/>
      <c r="J19" s="11" t="n"/>
      <c r="K19" s="11" t="n"/>
      <c r="L19" s="12">
        <f>COUNTIF(I19:K19,"X")</f>
        <v/>
      </c>
      <c r="M19" s="24">
        <f>IF(OR(G19="",L19=0),0,G19/L19)</f>
        <v/>
      </c>
      <c r="N19" s="10" t="n"/>
    </row>
    <row r="20" ht="20" customHeight="1">
      <c r="A20" s="21" t="n"/>
      <c r="B20" s="22">
        <f>IF(A20="","",IF(A20&lt;DataPartenza,"pre",MAX(1,A20-DataPartenza)))</f>
        <v/>
      </c>
      <c r="C20" s="10" t="n"/>
      <c r="D20" s="10" t="n"/>
      <c r="E20" s="10" t="n"/>
      <c r="F20" s="11" t="n"/>
      <c r="G20" s="23">
        <f>IF(E20="","",IF(UPPER(F20)="JPY",E20/Tasso_JPY_EUR,E20))</f>
        <v/>
      </c>
      <c r="H20" s="10" t="n"/>
      <c r="I20" s="11" t="n"/>
      <c r="J20" s="11" t="n"/>
      <c r="K20" s="11" t="n"/>
      <c r="L20" s="12">
        <f>COUNTIF(I20:K20,"X")</f>
        <v/>
      </c>
      <c r="M20" s="24">
        <f>IF(OR(G20="",L20=0),0,G20/L20)</f>
        <v/>
      </c>
      <c r="N20" s="10" t="n"/>
    </row>
    <row r="21" ht="20" customHeight="1">
      <c r="A21" s="21" t="n"/>
      <c r="B21" s="22">
        <f>IF(A21="","",IF(A21&lt;DataPartenza,"pre",MAX(1,A21-DataPartenza)))</f>
        <v/>
      </c>
      <c r="C21" s="10" t="n"/>
      <c r="D21" s="10" t="n"/>
      <c r="E21" s="10" t="n"/>
      <c r="F21" s="11" t="n"/>
      <c r="G21" s="23">
        <f>IF(E21="","",IF(UPPER(F21)="JPY",E21/Tasso_JPY_EUR,E21))</f>
        <v/>
      </c>
      <c r="H21" s="10" t="n"/>
      <c r="I21" s="11" t="n"/>
      <c r="J21" s="11" t="n"/>
      <c r="K21" s="11" t="n"/>
      <c r="L21" s="12">
        <f>COUNTIF(I21:K21,"X")</f>
        <v/>
      </c>
      <c r="M21" s="24">
        <f>IF(OR(G21="",L21=0),0,G21/L21)</f>
        <v/>
      </c>
      <c r="N21" s="10" t="n"/>
    </row>
    <row r="22" ht="20" customHeight="1">
      <c r="A22" s="21" t="n"/>
      <c r="B22" s="22">
        <f>IF(A22="","",IF(A22&lt;DataPartenza,"pre",MAX(1,A22-DataPartenza)))</f>
        <v/>
      </c>
      <c r="C22" s="10" t="n"/>
      <c r="D22" s="10" t="n"/>
      <c r="E22" s="10" t="n"/>
      <c r="F22" s="11" t="n"/>
      <c r="G22" s="23">
        <f>IF(E22="","",IF(UPPER(F22)="JPY",E22/Tasso_JPY_EUR,E22))</f>
        <v/>
      </c>
      <c r="H22" s="10" t="n"/>
      <c r="I22" s="11" t="n"/>
      <c r="J22" s="11" t="n"/>
      <c r="K22" s="11" t="n"/>
      <c r="L22" s="12">
        <f>COUNTIF(I22:K22,"X")</f>
        <v/>
      </c>
      <c r="M22" s="24">
        <f>IF(OR(G22="",L22=0),0,G22/L22)</f>
        <v/>
      </c>
      <c r="N22" s="10" t="n"/>
    </row>
    <row r="23" ht="20" customHeight="1">
      <c r="A23" s="21" t="n"/>
      <c r="B23" s="22">
        <f>IF(A23="","",IF(A23&lt;DataPartenza,"pre",MAX(1,A23-DataPartenza)))</f>
        <v/>
      </c>
      <c r="C23" s="10" t="n"/>
      <c r="D23" s="10" t="n"/>
      <c r="E23" s="10" t="n"/>
      <c r="F23" s="11" t="n"/>
      <c r="G23" s="23">
        <f>IF(E23="","",IF(UPPER(F23)="JPY",E23/Tasso_JPY_EUR,E23))</f>
        <v/>
      </c>
      <c r="H23" s="10" t="n"/>
      <c r="I23" s="11" t="n"/>
      <c r="J23" s="11" t="n"/>
      <c r="K23" s="11" t="n"/>
      <c r="L23" s="12">
        <f>COUNTIF(I23:K23,"X")</f>
        <v/>
      </c>
      <c r="M23" s="24">
        <f>IF(OR(G23="",L23=0),0,G23/L23)</f>
        <v/>
      </c>
      <c r="N23" s="10" t="n"/>
    </row>
    <row r="24" ht="20" customHeight="1">
      <c r="A24" s="21" t="n"/>
      <c r="B24" s="22">
        <f>IF(A24="","",IF(A24&lt;DataPartenza,"pre",MAX(1,A24-DataPartenza)))</f>
        <v/>
      </c>
      <c r="C24" s="10" t="n"/>
      <c r="D24" s="10" t="n"/>
      <c r="E24" s="10" t="n"/>
      <c r="F24" s="11" t="n"/>
      <c r="G24" s="23">
        <f>IF(E24="","",IF(UPPER(F24)="JPY",E24/Tasso_JPY_EUR,E24))</f>
        <v/>
      </c>
      <c r="H24" s="10" t="n"/>
      <c r="I24" s="11" t="n"/>
      <c r="J24" s="11" t="n"/>
      <c r="K24" s="11" t="n"/>
      <c r="L24" s="12">
        <f>COUNTIF(I24:K24,"X")</f>
        <v/>
      </c>
      <c r="M24" s="24">
        <f>IF(OR(G24="",L24=0),0,G24/L24)</f>
        <v/>
      </c>
      <c r="N24" s="10" t="n"/>
    </row>
    <row r="25" ht="20" customHeight="1">
      <c r="A25" s="21" t="n"/>
      <c r="B25" s="22">
        <f>IF(A25="","",IF(A25&lt;DataPartenza,"pre",MAX(1,A25-DataPartenza)))</f>
        <v/>
      </c>
      <c r="C25" s="10" t="n"/>
      <c r="D25" s="10" t="n"/>
      <c r="E25" s="10" t="n"/>
      <c r="F25" s="11" t="n"/>
      <c r="G25" s="23">
        <f>IF(E25="","",IF(UPPER(F25)="JPY",E25/Tasso_JPY_EUR,E25))</f>
        <v/>
      </c>
      <c r="H25" s="10" t="n"/>
      <c r="I25" s="11" t="n"/>
      <c r="J25" s="11" t="n"/>
      <c r="K25" s="11" t="n"/>
      <c r="L25" s="12">
        <f>COUNTIF(I25:K25,"X")</f>
        <v/>
      </c>
      <c r="M25" s="24">
        <f>IF(OR(G25="",L25=0),0,G25/L25)</f>
        <v/>
      </c>
      <c r="N25" s="10" t="n"/>
    </row>
    <row r="26" ht="20" customHeight="1">
      <c r="A26" s="21" t="n"/>
      <c r="B26" s="22">
        <f>IF(A26="","",IF(A26&lt;DataPartenza,"pre",MAX(1,A26-DataPartenza)))</f>
        <v/>
      </c>
      <c r="C26" s="10" t="n"/>
      <c r="D26" s="10" t="n"/>
      <c r="E26" s="10" t="n"/>
      <c r="F26" s="11" t="n"/>
      <c r="G26" s="23">
        <f>IF(E26="","",IF(UPPER(F26)="JPY",E26/Tasso_JPY_EUR,E26))</f>
        <v/>
      </c>
      <c r="H26" s="10" t="n"/>
      <c r="I26" s="11" t="n"/>
      <c r="J26" s="11" t="n"/>
      <c r="K26" s="11" t="n"/>
      <c r="L26" s="12">
        <f>COUNTIF(I26:K26,"X")</f>
        <v/>
      </c>
      <c r="M26" s="24">
        <f>IF(OR(G26="",L26=0),0,G26/L26)</f>
        <v/>
      </c>
      <c r="N26" s="10" t="n"/>
    </row>
    <row r="27" ht="20" customHeight="1">
      <c r="A27" s="21" t="n"/>
      <c r="B27" s="22">
        <f>IF(A27="","",IF(A27&lt;DataPartenza,"pre",MAX(1,A27-DataPartenza)))</f>
        <v/>
      </c>
      <c r="C27" s="10" t="n"/>
      <c r="D27" s="10" t="n"/>
      <c r="E27" s="10" t="n"/>
      <c r="F27" s="11" t="n"/>
      <c r="G27" s="23">
        <f>IF(E27="","",IF(UPPER(F27)="JPY",E27/Tasso_JPY_EUR,E27))</f>
        <v/>
      </c>
      <c r="H27" s="10" t="n"/>
      <c r="I27" s="11" t="n"/>
      <c r="J27" s="11" t="n"/>
      <c r="K27" s="11" t="n"/>
      <c r="L27" s="12">
        <f>COUNTIF(I27:K27,"X")</f>
        <v/>
      </c>
      <c r="M27" s="24">
        <f>IF(OR(G27="",L27=0),0,G27/L27)</f>
        <v/>
      </c>
      <c r="N27" s="10" t="n"/>
    </row>
    <row r="28" ht="20" customHeight="1">
      <c r="A28" s="21" t="n"/>
      <c r="B28" s="22">
        <f>IF(A28="","",IF(A28&lt;DataPartenza,"pre",MAX(1,A28-DataPartenza)))</f>
        <v/>
      </c>
      <c r="C28" s="10" t="n"/>
      <c r="D28" s="10" t="n"/>
      <c r="E28" s="10" t="n"/>
      <c r="F28" s="11" t="n"/>
      <c r="G28" s="23">
        <f>IF(E28="","",IF(UPPER(F28)="JPY",E28/Tasso_JPY_EUR,E28))</f>
        <v/>
      </c>
      <c r="H28" s="10" t="n"/>
      <c r="I28" s="11" t="n"/>
      <c r="J28" s="11" t="n"/>
      <c r="K28" s="11" t="n"/>
      <c r="L28" s="12">
        <f>COUNTIF(I28:K28,"X")</f>
        <v/>
      </c>
      <c r="M28" s="24">
        <f>IF(OR(G28="",L28=0),0,G28/L28)</f>
        <v/>
      </c>
      <c r="N28" s="10" t="n"/>
    </row>
    <row r="29" ht="20" customHeight="1">
      <c r="A29" s="21" t="n"/>
      <c r="B29" s="22">
        <f>IF(A29="","",IF(A29&lt;DataPartenza,"pre",MAX(1,A29-DataPartenza)))</f>
        <v/>
      </c>
      <c r="C29" s="10" t="n"/>
      <c r="D29" s="10" t="n"/>
      <c r="E29" s="10" t="n"/>
      <c r="F29" s="11" t="n"/>
      <c r="G29" s="23">
        <f>IF(E29="","",IF(UPPER(F29)="JPY",E29/Tasso_JPY_EUR,E29))</f>
        <v/>
      </c>
      <c r="H29" s="10" t="n"/>
      <c r="I29" s="11" t="n"/>
      <c r="J29" s="11" t="n"/>
      <c r="K29" s="11" t="n"/>
      <c r="L29" s="12">
        <f>COUNTIF(I29:K29,"X")</f>
        <v/>
      </c>
      <c r="M29" s="24">
        <f>IF(OR(G29="",L29=0),0,G29/L29)</f>
        <v/>
      </c>
      <c r="N29" s="10" t="n"/>
    </row>
    <row r="30" ht="20" customHeight="1">
      <c r="A30" s="21" t="n"/>
      <c r="B30" s="22">
        <f>IF(A30="","",IF(A30&lt;DataPartenza,"pre",MAX(1,A30-DataPartenza)))</f>
        <v/>
      </c>
      <c r="C30" s="10" t="n"/>
      <c r="D30" s="10" t="n"/>
      <c r="E30" s="10" t="n"/>
      <c r="F30" s="11" t="n"/>
      <c r="G30" s="23">
        <f>IF(E30="","",IF(UPPER(F30)="JPY",E30/Tasso_JPY_EUR,E30))</f>
        <v/>
      </c>
      <c r="H30" s="10" t="n"/>
      <c r="I30" s="11" t="n"/>
      <c r="J30" s="11" t="n"/>
      <c r="K30" s="11" t="n"/>
      <c r="L30" s="12">
        <f>COUNTIF(I30:K30,"X")</f>
        <v/>
      </c>
      <c r="M30" s="24">
        <f>IF(OR(G30="",L30=0),0,G30/L30)</f>
        <v/>
      </c>
      <c r="N30" s="10" t="n"/>
    </row>
    <row r="31" ht="20" customHeight="1">
      <c r="A31" s="21" t="n"/>
      <c r="B31" s="22">
        <f>IF(A31="","",IF(A31&lt;DataPartenza,"pre",MAX(1,A31-DataPartenza)))</f>
        <v/>
      </c>
      <c r="C31" s="10" t="n"/>
      <c r="D31" s="10" t="n"/>
      <c r="E31" s="10" t="n"/>
      <c r="F31" s="11" t="n"/>
      <c r="G31" s="23">
        <f>IF(E31="","",IF(UPPER(F31)="JPY",E31/Tasso_JPY_EUR,E31))</f>
        <v/>
      </c>
      <c r="H31" s="10" t="n"/>
      <c r="I31" s="11" t="n"/>
      <c r="J31" s="11" t="n"/>
      <c r="K31" s="11" t="n"/>
      <c r="L31" s="12">
        <f>COUNTIF(I31:K31,"X")</f>
        <v/>
      </c>
      <c r="M31" s="24">
        <f>IF(OR(G31="",L31=0),0,G31/L31)</f>
        <v/>
      </c>
      <c r="N31" s="10" t="n"/>
    </row>
    <row r="32" ht="20" customHeight="1">
      <c r="A32" s="21" t="n"/>
      <c r="B32" s="22">
        <f>IF(A32="","",IF(A32&lt;DataPartenza,"pre",MAX(1,A32-DataPartenza)))</f>
        <v/>
      </c>
      <c r="C32" s="10" t="n"/>
      <c r="D32" s="10" t="n"/>
      <c r="E32" s="10" t="n"/>
      <c r="F32" s="11" t="n"/>
      <c r="G32" s="23">
        <f>IF(E32="","",IF(UPPER(F32)="JPY",E32/Tasso_JPY_EUR,E32))</f>
        <v/>
      </c>
      <c r="H32" s="10" t="n"/>
      <c r="I32" s="11" t="n"/>
      <c r="J32" s="11" t="n"/>
      <c r="K32" s="11" t="n"/>
      <c r="L32" s="12">
        <f>COUNTIF(I32:K32,"X")</f>
        <v/>
      </c>
      <c r="M32" s="24">
        <f>IF(OR(G32="",L32=0),0,G32/L32)</f>
        <v/>
      </c>
      <c r="N32" s="10" t="n"/>
    </row>
    <row r="33" ht="20" customHeight="1">
      <c r="A33" s="21" t="n"/>
      <c r="B33" s="22">
        <f>IF(A33="","",IF(A33&lt;DataPartenza,"pre",MAX(1,A33-DataPartenza)))</f>
        <v/>
      </c>
      <c r="C33" s="10" t="n"/>
      <c r="D33" s="10" t="n"/>
      <c r="E33" s="10" t="n"/>
      <c r="F33" s="11" t="n"/>
      <c r="G33" s="23">
        <f>IF(E33="","",IF(UPPER(F33)="JPY",E33/Tasso_JPY_EUR,E33))</f>
        <v/>
      </c>
      <c r="H33" s="10" t="n"/>
      <c r="I33" s="11" t="n"/>
      <c r="J33" s="11" t="n"/>
      <c r="K33" s="11" t="n"/>
      <c r="L33" s="12">
        <f>COUNTIF(I33:K33,"X")</f>
        <v/>
      </c>
      <c r="M33" s="24">
        <f>IF(OR(G33="",L33=0),0,G33/L33)</f>
        <v/>
      </c>
      <c r="N33" s="10" t="n"/>
    </row>
    <row r="34" ht="20" customHeight="1">
      <c r="A34" s="21" t="n"/>
      <c r="B34" s="22">
        <f>IF(A34="","",IF(A34&lt;DataPartenza,"pre",MAX(1,A34-DataPartenza)))</f>
        <v/>
      </c>
      <c r="C34" s="10" t="n"/>
      <c r="D34" s="10" t="n"/>
      <c r="E34" s="10" t="n"/>
      <c r="F34" s="11" t="n"/>
      <c r="G34" s="23">
        <f>IF(E34="","",IF(UPPER(F34)="JPY",E34/Tasso_JPY_EUR,E34))</f>
        <v/>
      </c>
      <c r="H34" s="10" t="n"/>
      <c r="I34" s="11" t="n"/>
      <c r="J34" s="11" t="n"/>
      <c r="K34" s="11" t="n"/>
      <c r="L34" s="12">
        <f>COUNTIF(I34:K34,"X")</f>
        <v/>
      </c>
      <c r="M34" s="24">
        <f>IF(OR(G34="",L34=0),0,G34/L34)</f>
        <v/>
      </c>
      <c r="N34" s="10" t="n"/>
    </row>
    <row r="35" ht="20" customHeight="1">
      <c r="A35" s="21" t="n"/>
      <c r="B35" s="22">
        <f>IF(A35="","",IF(A35&lt;DataPartenza,"pre",MAX(1,A35-DataPartenza)))</f>
        <v/>
      </c>
      <c r="C35" s="10" t="n"/>
      <c r="D35" s="10" t="n"/>
      <c r="E35" s="10" t="n"/>
      <c r="F35" s="11" t="n"/>
      <c r="G35" s="23">
        <f>IF(E35="","",IF(UPPER(F35)="JPY",E35/Tasso_JPY_EUR,E35))</f>
        <v/>
      </c>
      <c r="H35" s="10" t="n"/>
      <c r="I35" s="11" t="n"/>
      <c r="J35" s="11" t="n"/>
      <c r="K35" s="11" t="n"/>
      <c r="L35" s="12">
        <f>COUNTIF(I35:K35,"X")</f>
        <v/>
      </c>
      <c r="M35" s="24">
        <f>IF(OR(G35="",L35=0),0,G35/L35)</f>
        <v/>
      </c>
      <c r="N35" s="10" t="n"/>
    </row>
    <row r="36" ht="20" customHeight="1">
      <c r="A36" s="21" t="n"/>
      <c r="B36" s="22">
        <f>IF(A36="","",IF(A36&lt;DataPartenza,"pre",MAX(1,A36-DataPartenza)))</f>
        <v/>
      </c>
      <c r="C36" s="10" t="n"/>
      <c r="D36" s="10" t="n"/>
      <c r="E36" s="10" t="n"/>
      <c r="F36" s="11" t="n"/>
      <c r="G36" s="23">
        <f>IF(E36="","",IF(UPPER(F36)="JPY",E36/Tasso_JPY_EUR,E36))</f>
        <v/>
      </c>
      <c r="H36" s="10" t="n"/>
      <c r="I36" s="11" t="n"/>
      <c r="J36" s="11" t="n"/>
      <c r="K36" s="11" t="n"/>
      <c r="L36" s="12">
        <f>COUNTIF(I36:K36,"X")</f>
        <v/>
      </c>
      <c r="M36" s="24">
        <f>IF(OR(G36="",L36=0),0,G36/L36)</f>
        <v/>
      </c>
      <c r="N36" s="10" t="n"/>
    </row>
    <row r="37" ht="20" customHeight="1">
      <c r="A37" s="21" t="n"/>
      <c r="B37" s="22">
        <f>IF(A37="","",IF(A37&lt;DataPartenza,"pre",MAX(1,A37-DataPartenza)))</f>
        <v/>
      </c>
      <c r="C37" s="10" t="n"/>
      <c r="D37" s="10" t="n"/>
      <c r="E37" s="10" t="n"/>
      <c r="F37" s="11" t="n"/>
      <c r="G37" s="23">
        <f>IF(E37="","",IF(UPPER(F37)="JPY",E37/Tasso_JPY_EUR,E37))</f>
        <v/>
      </c>
      <c r="H37" s="10" t="n"/>
      <c r="I37" s="11" t="n"/>
      <c r="J37" s="11" t="n"/>
      <c r="K37" s="11" t="n"/>
      <c r="L37" s="12">
        <f>COUNTIF(I37:K37,"X")</f>
        <v/>
      </c>
      <c r="M37" s="24">
        <f>IF(OR(G37="",L37=0),0,G37/L37)</f>
        <v/>
      </c>
      <c r="N37" s="10" t="n"/>
    </row>
    <row r="38" ht="20" customHeight="1">
      <c r="A38" s="21" t="n"/>
      <c r="B38" s="22">
        <f>IF(A38="","",IF(A38&lt;DataPartenza,"pre",MAX(1,A38-DataPartenza)))</f>
        <v/>
      </c>
      <c r="C38" s="10" t="n"/>
      <c r="D38" s="10" t="n"/>
      <c r="E38" s="10" t="n"/>
      <c r="F38" s="11" t="n"/>
      <c r="G38" s="23">
        <f>IF(E38="","",IF(UPPER(F38)="JPY",E38/Tasso_JPY_EUR,E38))</f>
        <v/>
      </c>
      <c r="H38" s="10" t="n"/>
      <c r="I38" s="11" t="n"/>
      <c r="J38" s="11" t="n"/>
      <c r="K38" s="11" t="n"/>
      <c r="L38" s="12">
        <f>COUNTIF(I38:K38,"X")</f>
        <v/>
      </c>
      <c r="M38" s="24">
        <f>IF(OR(G38="",L38=0),0,G38/L38)</f>
        <v/>
      </c>
      <c r="N38" s="10" t="n"/>
    </row>
    <row r="39" ht="20" customHeight="1">
      <c r="A39" s="21" t="n"/>
      <c r="B39" s="22">
        <f>IF(A39="","",IF(A39&lt;DataPartenza,"pre",MAX(1,A39-DataPartenza)))</f>
        <v/>
      </c>
      <c r="C39" s="10" t="n"/>
      <c r="D39" s="10" t="n"/>
      <c r="E39" s="10" t="n"/>
      <c r="F39" s="11" t="n"/>
      <c r="G39" s="23">
        <f>IF(E39="","",IF(UPPER(F39)="JPY",E39/Tasso_JPY_EUR,E39))</f>
        <v/>
      </c>
      <c r="H39" s="10" t="n"/>
      <c r="I39" s="11" t="n"/>
      <c r="J39" s="11" t="n"/>
      <c r="K39" s="11" t="n"/>
      <c r="L39" s="12">
        <f>COUNTIF(I39:K39,"X")</f>
        <v/>
      </c>
      <c r="M39" s="24">
        <f>IF(OR(G39="",L39=0),0,G39/L39)</f>
        <v/>
      </c>
      <c r="N39" s="10" t="n"/>
    </row>
    <row r="40" ht="20" customHeight="1">
      <c r="A40" s="21" t="n"/>
      <c r="B40" s="22">
        <f>IF(A40="","",IF(A40&lt;DataPartenza,"pre",MAX(1,A40-DataPartenza)))</f>
        <v/>
      </c>
      <c r="C40" s="10" t="n"/>
      <c r="D40" s="10" t="n"/>
      <c r="E40" s="10" t="n"/>
      <c r="F40" s="11" t="n"/>
      <c r="G40" s="23">
        <f>IF(E40="","",IF(UPPER(F40)="JPY",E40/Tasso_JPY_EUR,E40))</f>
        <v/>
      </c>
      <c r="H40" s="10" t="n"/>
      <c r="I40" s="11" t="n"/>
      <c r="J40" s="11" t="n"/>
      <c r="K40" s="11" t="n"/>
      <c r="L40" s="12">
        <f>COUNTIF(I40:K40,"X")</f>
        <v/>
      </c>
      <c r="M40" s="24">
        <f>IF(OR(G40="",L40=0),0,G40/L40)</f>
        <v/>
      </c>
      <c r="N40" s="10" t="n"/>
    </row>
    <row r="41" ht="20" customHeight="1">
      <c r="A41" s="21" t="n"/>
      <c r="B41" s="22">
        <f>IF(A41="","",IF(A41&lt;DataPartenza,"pre",MAX(1,A41-DataPartenza)))</f>
        <v/>
      </c>
      <c r="C41" s="10" t="n"/>
      <c r="D41" s="10" t="n"/>
      <c r="E41" s="10" t="n"/>
      <c r="F41" s="11" t="n"/>
      <c r="G41" s="23">
        <f>IF(E41="","",IF(UPPER(F41)="JPY",E41/Tasso_JPY_EUR,E41))</f>
        <v/>
      </c>
      <c r="H41" s="10" t="n"/>
      <c r="I41" s="11" t="n"/>
      <c r="J41" s="11" t="n"/>
      <c r="K41" s="11" t="n"/>
      <c r="L41" s="12">
        <f>COUNTIF(I41:K41,"X")</f>
        <v/>
      </c>
      <c r="M41" s="24">
        <f>IF(OR(G41="",L41=0),0,G41/L41)</f>
        <v/>
      </c>
      <c r="N41" s="10" t="n"/>
    </row>
    <row r="42" ht="20" customHeight="1">
      <c r="A42" s="21" t="n"/>
      <c r="B42" s="22">
        <f>IF(A42="","",IF(A42&lt;DataPartenza,"pre",MAX(1,A42-DataPartenza)))</f>
        <v/>
      </c>
      <c r="C42" s="10" t="n"/>
      <c r="D42" s="10" t="n"/>
      <c r="E42" s="10" t="n"/>
      <c r="F42" s="11" t="n"/>
      <c r="G42" s="23">
        <f>IF(E42="","",IF(UPPER(F42)="JPY",E42/Tasso_JPY_EUR,E42))</f>
        <v/>
      </c>
      <c r="H42" s="10" t="n"/>
      <c r="I42" s="11" t="n"/>
      <c r="J42" s="11" t="n"/>
      <c r="K42" s="11" t="n"/>
      <c r="L42" s="12">
        <f>COUNTIF(I42:K42,"X")</f>
        <v/>
      </c>
      <c r="M42" s="24">
        <f>IF(OR(G42="",L42=0),0,G42/L42)</f>
        <v/>
      </c>
      <c r="N42" s="10" t="n"/>
    </row>
    <row r="43" ht="20" customHeight="1">
      <c r="A43" s="21" t="n"/>
      <c r="B43" s="22">
        <f>IF(A43="","",IF(A43&lt;DataPartenza,"pre",MAX(1,A43-DataPartenza)))</f>
        <v/>
      </c>
      <c r="C43" s="10" t="n"/>
      <c r="D43" s="10" t="n"/>
      <c r="E43" s="10" t="n"/>
      <c r="F43" s="11" t="n"/>
      <c r="G43" s="23">
        <f>IF(E43="","",IF(UPPER(F43)="JPY",E43/Tasso_JPY_EUR,E43))</f>
        <v/>
      </c>
      <c r="H43" s="10" t="n"/>
      <c r="I43" s="11" t="n"/>
      <c r="J43" s="11" t="n"/>
      <c r="K43" s="11" t="n"/>
      <c r="L43" s="12">
        <f>COUNTIF(I43:K43,"X")</f>
        <v/>
      </c>
      <c r="M43" s="24">
        <f>IF(OR(G43="",L43=0),0,G43/L43)</f>
        <v/>
      </c>
      <c r="N43" s="10" t="n"/>
    </row>
    <row r="44" ht="20" customHeight="1">
      <c r="A44" s="21" t="n"/>
      <c r="B44" s="22">
        <f>IF(A44="","",IF(A44&lt;DataPartenza,"pre",MAX(1,A44-DataPartenza)))</f>
        <v/>
      </c>
      <c r="C44" s="10" t="n"/>
      <c r="D44" s="10" t="n"/>
      <c r="E44" s="10" t="n"/>
      <c r="F44" s="11" t="n"/>
      <c r="G44" s="23">
        <f>IF(E44="","",IF(UPPER(F44)="JPY",E44/Tasso_JPY_EUR,E44))</f>
        <v/>
      </c>
      <c r="H44" s="10" t="n"/>
      <c r="I44" s="11" t="n"/>
      <c r="J44" s="11" t="n"/>
      <c r="K44" s="11" t="n"/>
      <c r="L44" s="12">
        <f>COUNTIF(I44:K44,"X")</f>
        <v/>
      </c>
      <c r="M44" s="24">
        <f>IF(OR(G44="",L44=0),0,G44/L44)</f>
        <v/>
      </c>
      <c r="N44" s="10" t="n"/>
    </row>
    <row r="45" ht="20" customHeight="1">
      <c r="A45" s="21" t="n"/>
      <c r="B45" s="22">
        <f>IF(A45="","",IF(A45&lt;DataPartenza,"pre",MAX(1,A45-DataPartenza)))</f>
        <v/>
      </c>
      <c r="C45" s="10" t="n"/>
      <c r="D45" s="10" t="n"/>
      <c r="E45" s="10" t="n"/>
      <c r="F45" s="11" t="n"/>
      <c r="G45" s="23">
        <f>IF(E45="","",IF(UPPER(F45)="JPY",E45/Tasso_JPY_EUR,E45))</f>
        <v/>
      </c>
      <c r="H45" s="10" t="n"/>
      <c r="I45" s="11" t="n"/>
      <c r="J45" s="11" t="n"/>
      <c r="K45" s="11" t="n"/>
      <c r="L45" s="12">
        <f>COUNTIF(I45:K45,"X")</f>
        <v/>
      </c>
      <c r="M45" s="24">
        <f>IF(OR(G45="",L45=0),0,G45/L45)</f>
        <v/>
      </c>
      <c r="N45" s="10" t="n"/>
    </row>
    <row r="46" ht="20" customHeight="1">
      <c r="A46" s="21" t="n"/>
      <c r="B46" s="22">
        <f>IF(A46="","",IF(A46&lt;DataPartenza,"pre",MAX(1,A46-DataPartenza)))</f>
        <v/>
      </c>
      <c r="C46" s="10" t="n"/>
      <c r="D46" s="10" t="n"/>
      <c r="E46" s="10" t="n"/>
      <c r="F46" s="11" t="n"/>
      <c r="G46" s="23">
        <f>IF(E46="","",IF(UPPER(F46)="JPY",E46/Tasso_JPY_EUR,E46))</f>
        <v/>
      </c>
      <c r="H46" s="10" t="n"/>
      <c r="I46" s="11" t="n"/>
      <c r="J46" s="11" t="n"/>
      <c r="K46" s="11" t="n"/>
      <c r="L46" s="12">
        <f>COUNTIF(I46:K46,"X")</f>
        <v/>
      </c>
      <c r="M46" s="24">
        <f>IF(OR(G46="",L46=0),0,G46/L46)</f>
        <v/>
      </c>
      <c r="N46" s="10" t="n"/>
    </row>
    <row r="47" ht="20" customHeight="1">
      <c r="A47" s="21" t="n"/>
      <c r="B47" s="22">
        <f>IF(A47="","",IF(A47&lt;DataPartenza,"pre",MAX(1,A47-DataPartenza)))</f>
        <v/>
      </c>
      <c r="C47" s="10" t="n"/>
      <c r="D47" s="10" t="n"/>
      <c r="E47" s="10" t="n"/>
      <c r="F47" s="11" t="n"/>
      <c r="G47" s="23">
        <f>IF(E47="","",IF(UPPER(F47)="JPY",E47/Tasso_JPY_EUR,E47))</f>
        <v/>
      </c>
      <c r="H47" s="10" t="n"/>
      <c r="I47" s="11" t="n"/>
      <c r="J47" s="11" t="n"/>
      <c r="K47" s="11" t="n"/>
      <c r="L47" s="12">
        <f>COUNTIF(I47:K47,"X")</f>
        <v/>
      </c>
      <c r="M47" s="24">
        <f>IF(OR(G47="",L47=0),0,G47/L47)</f>
        <v/>
      </c>
      <c r="N47" s="10" t="n"/>
    </row>
    <row r="48" ht="20" customHeight="1">
      <c r="A48" s="21" t="n"/>
      <c r="B48" s="22">
        <f>IF(A48="","",IF(A48&lt;DataPartenza,"pre",MAX(1,A48-DataPartenza)))</f>
        <v/>
      </c>
      <c r="C48" s="10" t="n"/>
      <c r="D48" s="10" t="n"/>
      <c r="E48" s="10" t="n"/>
      <c r="F48" s="11" t="n"/>
      <c r="G48" s="23">
        <f>IF(E48="","",IF(UPPER(F48)="JPY",E48/Tasso_JPY_EUR,E48))</f>
        <v/>
      </c>
      <c r="H48" s="10" t="n"/>
      <c r="I48" s="11" t="n"/>
      <c r="J48" s="11" t="n"/>
      <c r="K48" s="11" t="n"/>
      <c r="L48" s="12">
        <f>COUNTIF(I48:K48,"X")</f>
        <v/>
      </c>
      <c r="M48" s="24">
        <f>IF(OR(G48="",L48=0),0,G48/L48)</f>
        <v/>
      </c>
      <c r="N48" s="10" t="n"/>
    </row>
    <row r="49" ht="20" customHeight="1">
      <c r="A49" s="21" t="n"/>
      <c r="B49" s="22">
        <f>IF(A49="","",IF(A49&lt;DataPartenza,"pre",MAX(1,A49-DataPartenza)))</f>
        <v/>
      </c>
      <c r="C49" s="10" t="n"/>
      <c r="D49" s="10" t="n"/>
      <c r="E49" s="10" t="n"/>
      <c r="F49" s="11" t="n"/>
      <c r="G49" s="23">
        <f>IF(E49="","",IF(UPPER(F49)="JPY",E49/Tasso_JPY_EUR,E49))</f>
        <v/>
      </c>
      <c r="H49" s="10" t="n"/>
      <c r="I49" s="11" t="n"/>
      <c r="J49" s="11" t="n"/>
      <c r="K49" s="11" t="n"/>
      <c r="L49" s="12">
        <f>COUNTIF(I49:K49,"X")</f>
        <v/>
      </c>
      <c r="M49" s="24">
        <f>IF(OR(G49="",L49=0),0,G49/L49)</f>
        <v/>
      </c>
      <c r="N49" s="10" t="n"/>
    </row>
    <row r="50" ht="20" customHeight="1">
      <c r="A50" s="21" t="n"/>
      <c r="B50" s="22">
        <f>IF(A50="","",IF(A50&lt;DataPartenza,"pre",MAX(1,A50-DataPartenza)))</f>
        <v/>
      </c>
      <c r="C50" s="10" t="n"/>
      <c r="D50" s="10" t="n"/>
      <c r="E50" s="10" t="n"/>
      <c r="F50" s="11" t="n"/>
      <c r="G50" s="23">
        <f>IF(E50="","",IF(UPPER(F50)="JPY",E50/Tasso_JPY_EUR,E50))</f>
        <v/>
      </c>
      <c r="H50" s="10" t="n"/>
      <c r="I50" s="11" t="n"/>
      <c r="J50" s="11" t="n"/>
      <c r="K50" s="11" t="n"/>
      <c r="L50" s="12">
        <f>COUNTIF(I50:K50,"X")</f>
        <v/>
      </c>
      <c r="M50" s="24">
        <f>IF(OR(G50="",L50=0),0,G50/L50)</f>
        <v/>
      </c>
      <c r="N50" s="10" t="n"/>
    </row>
    <row r="51" ht="20" customHeight="1">
      <c r="A51" s="21" t="n"/>
      <c r="B51" s="22">
        <f>IF(A51="","",IF(A51&lt;DataPartenza,"pre",MAX(1,A51-DataPartenza)))</f>
        <v/>
      </c>
      <c r="C51" s="10" t="n"/>
      <c r="D51" s="10" t="n"/>
      <c r="E51" s="10" t="n"/>
      <c r="F51" s="11" t="n"/>
      <c r="G51" s="23">
        <f>IF(E51="","",IF(UPPER(F51)="JPY",E51/Tasso_JPY_EUR,E51))</f>
        <v/>
      </c>
      <c r="H51" s="10" t="n"/>
      <c r="I51" s="11" t="n"/>
      <c r="J51" s="11" t="n"/>
      <c r="K51" s="11" t="n"/>
      <c r="L51" s="12">
        <f>COUNTIF(I51:K51,"X")</f>
        <v/>
      </c>
      <c r="M51" s="24">
        <f>IF(OR(G51="",L51=0),0,G51/L51)</f>
        <v/>
      </c>
      <c r="N51" s="10" t="n"/>
    </row>
    <row r="52" ht="20" customHeight="1">
      <c r="A52" s="21" t="n"/>
      <c r="B52" s="22">
        <f>IF(A52="","",IF(A52&lt;DataPartenza,"pre",MAX(1,A52-DataPartenza)))</f>
        <v/>
      </c>
      <c r="C52" s="10" t="n"/>
      <c r="D52" s="10" t="n"/>
      <c r="E52" s="10" t="n"/>
      <c r="F52" s="11" t="n"/>
      <c r="G52" s="23">
        <f>IF(E52="","",IF(UPPER(F52)="JPY",E52/Tasso_JPY_EUR,E52))</f>
        <v/>
      </c>
      <c r="H52" s="10" t="n"/>
      <c r="I52" s="11" t="n"/>
      <c r="J52" s="11" t="n"/>
      <c r="K52" s="11" t="n"/>
      <c r="L52" s="12">
        <f>COUNTIF(I52:K52,"X")</f>
        <v/>
      </c>
      <c r="M52" s="24">
        <f>IF(OR(G52="",L52=0),0,G52/L52)</f>
        <v/>
      </c>
      <c r="N52" s="10" t="n"/>
    </row>
    <row r="53" ht="20" customHeight="1">
      <c r="A53" s="21" t="n"/>
      <c r="B53" s="22">
        <f>IF(A53="","",IF(A53&lt;DataPartenza,"pre",MAX(1,A53-DataPartenza)))</f>
        <v/>
      </c>
      <c r="C53" s="10" t="n"/>
      <c r="D53" s="10" t="n"/>
      <c r="E53" s="10" t="n"/>
      <c r="F53" s="11" t="n"/>
      <c r="G53" s="23">
        <f>IF(E53="","",IF(UPPER(F53)="JPY",E53/Tasso_JPY_EUR,E53))</f>
        <v/>
      </c>
      <c r="H53" s="10" t="n"/>
      <c r="I53" s="11" t="n"/>
      <c r="J53" s="11" t="n"/>
      <c r="K53" s="11" t="n"/>
      <c r="L53" s="12">
        <f>COUNTIF(I53:K53,"X")</f>
        <v/>
      </c>
      <c r="M53" s="24">
        <f>IF(OR(G53="",L53=0),0,G53/L53)</f>
        <v/>
      </c>
      <c r="N53" s="10" t="n"/>
    </row>
    <row r="54" ht="20" customHeight="1">
      <c r="A54" s="21" t="n"/>
      <c r="B54" s="22">
        <f>IF(A54="","",IF(A54&lt;DataPartenza,"pre",MAX(1,A54-DataPartenza)))</f>
        <v/>
      </c>
      <c r="C54" s="10" t="n"/>
      <c r="D54" s="10" t="n"/>
      <c r="E54" s="10" t="n"/>
      <c r="F54" s="11" t="n"/>
      <c r="G54" s="23">
        <f>IF(E54="","",IF(UPPER(F54)="JPY",E54/Tasso_JPY_EUR,E54))</f>
        <v/>
      </c>
      <c r="H54" s="10" t="n"/>
      <c r="I54" s="11" t="n"/>
      <c r="J54" s="11" t="n"/>
      <c r="K54" s="11" t="n"/>
      <c r="L54" s="12">
        <f>COUNTIF(I54:K54,"X")</f>
        <v/>
      </c>
      <c r="M54" s="24">
        <f>IF(OR(G54="",L54=0),0,G54/L54)</f>
        <v/>
      </c>
      <c r="N54" s="10" t="n"/>
    </row>
    <row r="55" ht="20" customHeight="1">
      <c r="A55" s="21" t="n"/>
      <c r="B55" s="22">
        <f>IF(A55="","",IF(A55&lt;DataPartenza,"pre",MAX(1,A55-DataPartenza)))</f>
        <v/>
      </c>
      <c r="C55" s="10" t="n"/>
      <c r="D55" s="10" t="n"/>
      <c r="E55" s="10" t="n"/>
      <c r="F55" s="11" t="n"/>
      <c r="G55" s="23">
        <f>IF(E55="","",IF(UPPER(F55)="JPY",E55/Tasso_JPY_EUR,E55))</f>
        <v/>
      </c>
      <c r="H55" s="10" t="n"/>
      <c r="I55" s="11" t="n"/>
      <c r="J55" s="11" t="n"/>
      <c r="K55" s="11" t="n"/>
      <c r="L55" s="12">
        <f>COUNTIF(I55:K55,"X")</f>
        <v/>
      </c>
      <c r="M55" s="24">
        <f>IF(OR(G55="",L55=0),0,G55/L55)</f>
        <v/>
      </c>
      <c r="N55" s="10" t="n"/>
    </row>
    <row r="56" ht="20" customHeight="1">
      <c r="A56" s="21" t="n"/>
      <c r="B56" s="22">
        <f>IF(A56="","",IF(A56&lt;DataPartenza,"pre",MAX(1,A56-DataPartenza)))</f>
        <v/>
      </c>
      <c r="C56" s="10" t="n"/>
      <c r="D56" s="10" t="n"/>
      <c r="E56" s="10" t="n"/>
      <c r="F56" s="11" t="n"/>
      <c r="G56" s="23">
        <f>IF(E56="","",IF(UPPER(F56)="JPY",E56/Tasso_JPY_EUR,E56))</f>
        <v/>
      </c>
      <c r="H56" s="10" t="n"/>
      <c r="I56" s="11" t="n"/>
      <c r="J56" s="11" t="n"/>
      <c r="K56" s="11" t="n"/>
      <c r="L56" s="12">
        <f>COUNTIF(I56:K56,"X")</f>
        <v/>
      </c>
      <c r="M56" s="24">
        <f>IF(OR(G56="",L56=0),0,G56/L56)</f>
        <v/>
      </c>
      <c r="N56" s="10" t="n"/>
    </row>
    <row r="57" ht="20" customHeight="1">
      <c r="A57" s="21" t="n"/>
      <c r="B57" s="22">
        <f>IF(A57="","",IF(A57&lt;DataPartenza,"pre",MAX(1,A57-DataPartenza)))</f>
        <v/>
      </c>
      <c r="C57" s="10" t="n"/>
      <c r="D57" s="10" t="n"/>
      <c r="E57" s="10" t="n"/>
      <c r="F57" s="11" t="n"/>
      <c r="G57" s="23">
        <f>IF(E57="","",IF(UPPER(F57)="JPY",E57/Tasso_JPY_EUR,E57))</f>
        <v/>
      </c>
      <c r="H57" s="10" t="n"/>
      <c r="I57" s="11" t="n"/>
      <c r="J57" s="11" t="n"/>
      <c r="K57" s="11" t="n"/>
      <c r="L57" s="12">
        <f>COUNTIF(I57:K57,"X")</f>
        <v/>
      </c>
      <c r="M57" s="24">
        <f>IF(OR(G57="",L57=0),0,G57/L57)</f>
        <v/>
      </c>
      <c r="N57" s="10" t="n"/>
    </row>
    <row r="58" ht="20" customHeight="1">
      <c r="A58" s="21" t="n"/>
      <c r="B58" s="22">
        <f>IF(A58="","",IF(A58&lt;DataPartenza,"pre",MAX(1,A58-DataPartenza)))</f>
        <v/>
      </c>
      <c r="C58" s="10" t="n"/>
      <c r="D58" s="10" t="n"/>
      <c r="E58" s="10" t="n"/>
      <c r="F58" s="11" t="n"/>
      <c r="G58" s="23">
        <f>IF(E58="","",IF(UPPER(F58)="JPY",E58/Tasso_JPY_EUR,E58))</f>
        <v/>
      </c>
      <c r="H58" s="10" t="n"/>
      <c r="I58" s="11" t="n"/>
      <c r="J58" s="11" t="n"/>
      <c r="K58" s="11" t="n"/>
      <c r="L58" s="12">
        <f>COUNTIF(I58:K58,"X")</f>
        <v/>
      </c>
      <c r="M58" s="24">
        <f>IF(OR(G58="",L58=0),0,G58/L58)</f>
        <v/>
      </c>
      <c r="N58" s="10" t="n"/>
    </row>
    <row r="59" ht="20" customHeight="1">
      <c r="A59" s="21" t="n"/>
      <c r="B59" s="22">
        <f>IF(A59="","",IF(A59&lt;DataPartenza,"pre",MAX(1,A59-DataPartenza)))</f>
        <v/>
      </c>
      <c r="C59" s="10" t="n"/>
      <c r="D59" s="10" t="n"/>
      <c r="E59" s="10" t="n"/>
      <c r="F59" s="11" t="n"/>
      <c r="G59" s="23">
        <f>IF(E59="","",IF(UPPER(F59)="JPY",E59/Tasso_JPY_EUR,E59))</f>
        <v/>
      </c>
      <c r="H59" s="10" t="n"/>
      <c r="I59" s="11" t="n"/>
      <c r="J59" s="11" t="n"/>
      <c r="K59" s="11" t="n"/>
      <c r="L59" s="12">
        <f>COUNTIF(I59:K59,"X")</f>
        <v/>
      </c>
      <c r="M59" s="24">
        <f>IF(OR(G59="",L59=0),0,G59/L59)</f>
        <v/>
      </c>
      <c r="N59" s="10" t="n"/>
    </row>
    <row r="60" ht="20" customHeight="1">
      <c r="A60" s="21" t="n"/>
      <c r="B60" s="22">
        <f>IF(A60="","",IF(A60&lt;DataPartenza,"pre",MAX(1,A60-DataPartenza)))</f>
        <v/>
      </c>
      <c r="C60" s="10" t="n"/>
      <c r="D60" s="10" t="n"/>
      <c r="E60" s="10" t="n"/>
      <c r="F60" s="11" t="n"/>
      <c r="G60" s="23">
        <f>IF(E60="","",IF(UPPER(F60)="JPY",E60/Tasso_JPY_EUR,E60))</f>
        <v/>
      </c>
      <c r="H60" s="10" t="n"/>
      <c r="I60" s="11" t="n"/>
      <c r="J60" s="11" t="n"/>
      <c r="K60" s="11" t="n"/>
      <c r="L60" s="12">
        <f>COUNTIF(I60:K60,"X")</f>
        <v/>
      </c>
      <c r="M60" s="24">
        <f>IF(OR(G60="",L60=0),0,G60/L60)</f>
        <v/>
      </c>
      <c r="N60" s="10" t="n"/>
    </row>
    <row r="61" ht="20" customHeight="1">
      <c r="A61" s="21" t="n"/>
      <c r="B61" s="22">
        <f>IF(A61="","",IF(A61&lt;DataPartenza,"pre",MAX(1,A61-DataPartenza)))</f>
        <v/>
      </c>
      <c r="C61" s="10" t="n"/>
      <c r="D61" s="10" t="n"/>
      <c r="E61" s="10" t="n"/>
      <c r="F61" s="11" t="n"/>
      <c r="G61" s="23">
        <f>IF(E61="","",IF(UPPER(F61)="JPY",E61/Tasso_JPY_EUR,E61))</f>
        <v/>
      </c>
      <c r="H61" s="10" t="n"/>
      <c r="I61" s="11" t="n"/>
      <c r="J61" s="11" t="n"/>
      <c r="K61" s="11" t="n"/>
      <c r="L61" s="12">
        <f>COUNTIF(I61:K61,"X")</f>
        <v/>
      </c>
      <c r="M61" s="24">
        <f>IF(OR(G61="",L61=0),0,G61/L61)</f>
        <v/>
      </c>
      <c r="N61" s="10" t="n"/>
    </row>
    <row r="62" ht="20" customHeight="1">
      <c r="A62" s="21" t="n"/>
      <c r="B62" s="22">
        <f>IF(A62="","",IF(A62&lt;DataPartenza,"pre",MAX(1,A62-DataPartenza)))</f>
        <v/>
      </c>
      <c r="C62" s="10" t="n"/>
      <c r="D62" s="10" t="n"/>
      <c r="E62" s="10" t="n"/>
      <c r="F62" s="11" t="n"/>
      <c r="G62" s="23">
        <f>IF(E62="","",IF(UPPER(F62)="JPY",E62/Tasso_JPY_EUR,E62))</f>
        <v/>
      </c>
      <c r="H62" s="10" t="n"/>
      <c r="I62" s="11" t="n"/>
      <c r="J62" s="11" t="n"/>
      <c r="K62" s="11" t="n"/>
      <c r="L62" s="12">
        <f>COUNTIF(I62:K62,"X")</f>
        <v/>
      </c>
      <c r="M62" s="24">
        <f>IF(OR(G62="",L62=0),0,G62/L62)</f>
        <v/>
      </c>
      <c r="N62" s="10" t="n"/>
    </row>
    <row r="63" ht="20" customHeight="1">
      <c r="A63" s="21" t="n"/>
      <c r="B63" s="22">
        <f>IF(A63="","",IF(A63&lt;DataPartenza,"pre",MAX(1,A63-DataPartenza)))</f>
        <v/>
      </c>
      <c r="C63" s="10" t="n"/>
      <c r="D63" s="10" t="n"/>
      <c r="E63" s="10" t="n"/>
      <c r="F63" s="11" t="n"/>
      <c r="G63" s="23">
        <f>IF(E63="","",IF(UPPER(F63)="JPY",E63/Tasso_JPY_EUR,E63))</f>
        <v/>
      </c>
      <c r="H63" s="10" t="n"/>
      <c r="I63" s="11" t="n"/>
      <c r="J63" s="11" t="n"/>
      <c r="K63" s="11" t="n"/>
      <c r="L63" s="12">
        <f>COUNTIF(I63:K63,"X")</f>
        <v/>
      </c>
      <c r="M63" s="24">
        <f>IF(OR(G63="",L63=0),0,G63/L63)</f>
        <v/>
      </c>
      <c r="N63" s="10" t="n"/>
    </row>
    <row r="64" ht="20" customHeight="1">
      <c r="A64" s="21" t="n"/>
      <c r="B64" s="22">
        <f>IF(A64="","",IF(A64&lt;DataPartenza,"pre",MAX(1,A64-DataPartenza)))</f>
        <v/>
      </c>
      <c r="C64" s="10" t="n"/>
      <c r="D64" s="10" t="n"/>
      <c r="E64" s="10" t="n"/>
      <c r="F64" s="11" t="n"/>
      <c r="G64" s="23">
        <f>IF(E64="","",IF(UPPER(F64)="JPY",E64/Tasso_JPY_EUR,E64))</f>
        <v/>
      </c>
      <c r="H64" s="10" t="n"/>
      <c r="I64" s="11" t="n"/>
      <c r="J64" s="11" t="n"/>
      <c r="K64" s="11" t="n"/>
      <c r="L64" s="12">
        <f>COUNTIF(I64:K64,"X")</f>
        <v/>
      </c>
      <c r="M64" s="24">
        <f>IF(OR(G64="",L64=0),0,G64/L64)</f>
        <v/>
      </c>
      <c r="N64" s="10" t="n"/>
    </row>
    <row r="65" ht="20" customHeight="1">
      <c r="A65" s="21" t="n"/>
      <c r="B65" s="22">
        <f>IF(A65="","",IF(A65&lt;DataPartenza,"pre",MAX(1,A65-DataPartenza)))</f>
        <v/>
      </c>
      <c r="C65" s="10" t="n"/>
      <c r="D65" s="10" t="n"/>
      <c r="E65" s="10" t="n"/>
      <c r="F65" s="11" t="n"/>
      <c r="G65" s="23">
        <f>IF(E65="","",IF(UPPER(F65)="JPY",E65/Tasso_JPY_EUR,E65))</f>
        <v/>
      </c>
      <c r="H65" s="10" t="n"/>
      <c r="I65" s="11" t="n"/>
      <c r="J65" s="11" t="n"/>
      <c r="K65" s="11" t="n"/>
      <c r="L65" s="12">
        <f>COUNTIF(I65:K65,"X")</f>
        <v/>
      </c>
      <c r="M65" s="24">
        <f>IF(OR(G65="",L65=0),0,G65/L65)</f>
        <v/>
      </c>
      <c r="N65" s="10" t="n"/>
    </row>
    <row r="66" ht="20" customHeight="1">
      <c r="A66" s="21" t="n"/>
      <c r="B66" s="22">
        <f>IF(A66="","",IF(A66&lt;DataPartenza,"pre",MAX(1,A66-DataPartenza)))</f>
        <v/>
      </c>
      <c r="C66" s="10" t="n"/>
      <c r="D66" s="10" t="n"/>
      <c r="E66" s="10" t="n"/>
      <c r="F66" s="11" t="n"/>
      <c r="G66" s="23">
        <f>IF(E66="","",IF(UPPER(F66)="JPY",E66/Tasso_JPY_EUR,E66))</f>
        <v/>
      </c>
      <c r="H66" s="10" t="n"/>
      <c r="I66" s="11" t="n"/>
      <c r="J66" s="11" t="n"/>
      <c r="K66" s="11" t="n"/>
      <c r="L66" s="12">
        <f>COUNTIF(I66:K66,"X")</f>
        <v/>
      </c>
      <c r="M66" s="24">
        <f>IF(OR(G66="",L66=0),0,G66/L66)</f>
        <v/>
      </c>
      <c r="N66" s="10" t="n"/>
    </row>
    <row r="67" ht="20" customHeight="1">
      <c r="A67" s="21" t="n"/>
      <c r="B67" s="22">
        <f>IF(A67="","",IF(A67&lt;DataPartenza,"pre",MAX(1,A67-DataPartenza)))</f>
        <v/>
      </c>
      <c r="C67" s="10" t="n"/>
      <c r="D67" s="10" t="n"/>
      <c r="E67" s="10" t="n"/>
      <c r="F67" s="11" t="n"/>
      <c r="G67" s="23">
        <f>IF(E67="","",IF(UPPER(F67)="JPY",E67/Tasso_JPY_EUR,E67))</f>
        <v/>
      </c>
      <c r="H67" s="10" t="n"/>
      <c r="I67" s="11" t="n"/>
      <c r="J67" s="11" t="n"/>
      <c r="K67" s="11" t="n"/>
      <c r="L67" s="12">
        <f>COUNTIF(I67:K67,"X")</f>
        <v/>
      </c>
      <c r="M67" s="24">
        <f>IF(OR(G67="",L67=0),0,G67/L67)</f>
        <v/>
      </c>
      <c r="N67" s="10" t="n"/>
    </row>
    <row r="68" ht="20" customHeight="1">
      <c r="A68" s="21" t="n"/>
      <c r="B68" s="22">
        <f>IF(A68="","",IF(A68&lt;DataPartenza,"pre",MAX(1,A68-DataPartenza)))</f>
        <v/>
      </c>
      <c r="C68" s="10" t="n"/>
      <c r="D68" s="10" t="n"/>
      <c r="E68" s="10" t="n"/>
      <c r="F68" s="11" t="n"/>
      <c r="G68" s="23">
        <f>IF(E68="","",IF(UPPER(F68)="JPY",E68/Tasso_JPY_EUR,E68))</f>
        <v/>
      </c>
      <c r="H68" s="10" t="n"/>
      <c r="I68" s="11" t="n"/>
      <c r="J68" s="11" t="n"/>
      <c r="K68" s="11" t="n"/>
      <c r="L68" s="12">
        <f>COUNTIF(I68:K68,"X")</f>
        <v/>
      </c>
      <c r="M68" s="24">
        <f>IF(OR(G68="",L68=0),0,G68/L68)</f>
        <v/>
      </c>
      <c r="N68" s="10" t="n"/>
    </row>
    <row r="69" ht="20" customHeight="1">
      <c r="A69" s="21" t="n"/>
      <c r="B69" s="22">
        <f>IF(A69="","",IF(A69&lt;DataPartenza,"pre",MAX(1,A69-DataPartenza)))</f>
        <v/>
      </c>
      <c r="C69" s="10" t="n"/>
      <c r="D69" s="10" t="n"/>
      <c r="E69" s="10" t="n"/>
      <c r="F69" s="11" t="n"/>
      <c r="G69" s="23">
        <f>IF(E69="","",IF(UPPER(F69)="JPY",E69/Tasso_JPY_EUR,E69))</f>
        <v/>
      </c>
      <c r="H69" s="10" t="n"/>
      <c r="I69" s="11" t="n"/>
      <c r="J69" s="11" t="n"/>
      <c r="K69" s="11" t="n"/>
      <c r="L69" s="12">
        <f>COUNTIF(I69:K69,"X")</f>
        <v/>
      </c>
      <c r="M69" s="24">
        <f>IF(OR(G69="",L69=0),0,G69/L69)</f>
        <v/>
      </c>
      <c r="N69" s="10" t="n"/>
    </row>
    <row r="70" ht="20" customHeight="1">
      <c r="A70" s="21" t="n"/>
      <c r="B70" s="22">
        <f>IF(A70="","",IF(A70&lt;DataPartenza,"pre",MAX(1,A70-DataPartenza)))</f>
        <v/>
      </c>
      <c r="C70" s="10" t="n"/>
      <c r="D70" s="10" t="n"/>
      <c r="E70" s="10" t="n"/>
      <c r="F70" s="11" t="n"/>
      <c r="G70" s="23">
        <f>IF(E70="","",IF(UPPER(F70)="JPY",E70/Tasso_JPY_EUR,E70))</f>
        <v/>
      </c>
      <c r="H70" s="10" t="n"/>
      <c r="I70" s="11" t="n"/>
      <c r="J70" s="11" t="n"/>
      <c r="K70" s="11" t="n"/>
      <c r="L70" s="12">
        <f>COUNTIF(I70:K70,"X")</f>
        <v/>
      </c>
      <c r="M70" s="24">
        <f>IF(OR(G70="",L70=0),0,G70/L70)</f>
        <v/>
      </c>
      <c r="N70" s="10" t="n"/>
    </row>
    <row r="71" ht="20" customHeight="1">
      <c r="A71" s="21" t="n"/>
      <c r="B71" s="22">
        <f>IF(A71="","",IF(A71&lt;DataPartenza,"pre",MAX(1,A71-DataPartenza)))</f>
        <v/>
      </c>
      <c r="C71" s="10" t="n"/>
      <c r="D71" s="10" t="n"/>
      <c r="E71" s="10" t="n"/>
      <c r="F71" s="11" t="n"/>
      <c r="G71" s="23">
        <f>IF(E71="","",IF(UPPER(F71)="JPY",E71/Tasso_JPY_EUR,E71))</f>
        <v/>
      </c>
      <c r="H71" s="10" t="n"/>
      <c r="I71" s="11" t="n"/>
      <c r="J71" s="11" t="n"/>
      <c r="K71" s="11" t="n"/>
      <c r="L71" s="12">
        <f>COUNTIF(I71:K71,"X")</f>
        <v/>
      </c>
      <c r="M71" s="24">
        <f>IF(OR(G71="",L71=0),0,G71/L71)</f>
        <v/>
      </c>
      <c r="N71" s="10" t="n"/>
    </row>
    <row r="72" ht="20" customHeight="1">
      <c r="A72" s="21" t="n"/>
      <c r="B72" s="22">
        <f>IF(A72="","",IF(A72&lt;DataPartenza,"pre",MAX(1,A72-DataPartenza)))</f>
        <v/>
      </c>
      <c r="C72" s="10" t="n"/>
      <c r="D72" s="10" t="n"/>
      <c r="E72" s="10" t="n"/>
      <c r="F72" s="11" t="n"/>
      <c r="G72" s="23">
        <f>IF(E72="","",IF(UPPER(F72)="JPY",E72/Tasso_JPY_EUR,E72))</f>
        <v/>
      </c>
      <c r="H72" s="10" t="n"/>
      <c r="I72" s="11" t="n"/>
      <c r="J72" s="11" t="n"/>
      <c r="K72" s="11" t="n"/>
      <c r="L72" s="12">
        <f>COUNTIF(I72:K72,"X")</f>
        <v/>
      </c>
      <c r="M72" s="24">
        <f>IF(OR(G72="",L72=0),0,G72/L72)</f>
        <v/>
      </c>
      <c r="N72" s="10" t="n"/>
    </row>
    <row r="73" ht="20" customHeight="1">
      <c r="A73" s="21" t="n"/>
      <c r="B73" s="22">
        <f>IF(A73="","",IF(A73&lt;DataPartenza,"pre",MAX(1,A73-DataPartenza)))</f>
        <v/>
      </c>
      <c r="C73" s="10" t="n"/>
      <c r="D73" s="10" t="n"/>
      <c r="E73" s="10" t="n"/>
      <c r="F73" s="11" t="n"/>
      <c r="G73" s="23">
        <f>IF(E73="","",IF(UPPER(F73)="JPY",E73/Tasso_JPY_EUR,E73))</f>
        <v/>
      </c>
      <c r="H73" s="10" t="n"/>
      <c r="I73" s="11" t="n"/>
      <c r="J73" s="11" t="n"/>
      <c r="K73" s="11" t="n"/>
      <c r="L73" s="12">
        <f>COUNTIF(I73:K73,"X")</f>
        <v/>
      </c>
      <c r="M73" s="24">
        <f>IF(OR(G73="",L73=0),0,G73/L73)</f>
        <v/>
      </c>
      <c r="N73" s="10" t="n"/>
    </row>
    <row r="74" ht="20" customHeight="1">
      <c r="A74" s="21" t="n"/>
      <c r="B74" s="22">
        <f>IF(A74="","",IF(A74&lt;DataPartenza,"pre",MAX(1,A74-DataPartenza)))</f>
        <v/>
      </c>
      <c r="C74" s="10" t="n"/>
      <c r="D74" s="10" t="n"/>
      <c r="E74" s="10" t="n"/>
      <c r="F74" s="11" t="n"/>
      <c r="G74" s="23">
        <f>IF(E74="","",IF(UPPER(F74)="JPY",E74/Tasso_JPY_EUR,E74))</f>
        <v/>
      </c>
      <c r="H74" s="10" t="n"/>
      <c r="I74" s="11" t="n"/>
      <c r="J74" s="11" t="n"/>
      <c r="K74" s="11" t="n"/>
      <c r="L74" s="12">
        <f>COUNTIF(I74:K74,"X")</f>
        <v/>
      </c>
      <c r="M74" s="24">
        <f>IF(OR(G74="",L74=0),0,G74/L74)</f>
        <v/>
      </c>
      <c r="N74" s="10" t="n"/>
    </row>
    <row r="75" ht="20" customHeight="1">
      <c r="A75" s="21" t="n"/>
      <c r="B75" s="22">
        <f>IF(A75="","",IF(A75&lt;DataPartenza,"pre",MAX(1,A75-DataPartenza)))</f>
        <v/>
      </c>
      <c r="C75" s="10" t="n"/>
      <c r="D75" s="10" t="n"/>
      <c r="E75" s="10" t="n"/>
      <c r="F75" s="11" t="n"/>
      <c r="G75" s="23">
        <f>IF(E75="","",IF(UPPER(F75)="JPY",E75/Tasso_JPY_EUR,E75))</f>
        <v/>
      </c>
      <c r="H75" s="10" t="n"/>
      <c r="I75" s="11" t="n"/>
      <c r="J75" s="11" t="n"/>
      <c r="K75" s="11" t="n"/>
      <c r="L75" s="12">
        <f>COUNTIF(I75:K75,"X")</f>
        <v/>
      </c>
      <c r="M75" s="24">
        <f>IF(OR(G75="",L75=0),0,G75/L75)</f>
        <v/>
      </c>
      <c r="N75" s="10" t="n"/>
    </row>
    <row r="76" ht="20" customHeight="1">
      <c r="A76" s="21" t="n"/>
      <c r="B76" s="22">
        <f>IF(A76="","",IF(A76&lt;DataPartenza,"pre",MAX(1,A76-DataPartenza)))</f>
        <v/>
      </c>
      <c r="C76" s="10" t="n"/>
      <c r="D76" s="10" t="n"/>
      <c r="E76" s="10" t="n"/>
      <c r="F76" s="11" t="n"/>
      <c r="G76" s="23">
        <f>IF(E76="","",IF(UPPER(F76)="JPY",E76/Tasso_JPY_EUR,E76))</f>
        <v/>
      </c>
      <c r="H76" s="10" t="n"/>
      <c r="I76" s="11" t="n"/>
      <c r="J76" s="11" t="n"/>
      <c r="K76" s="11" t="n"/>
      <c r="L76" s="12">
        <f>COUNTIF(I76:K76,"X")</f>
        <v/>
      </c>
      <c r="M76" s="24">
        <f>IF(OR(G76="",L76=0),0,G76/L76)</f>
        <v/>
      </c>
      <c r="N76" s="10" t="n"/>
    </row>
    <row r="77" ht="20" customHeight="1">
      <c r="A77" s="21" t="n"/>
      <c r="B77" s="22">
        <f>IF(A77="","",IF(A77&lt;DataPartenza,"pre",MAX(1,A77-DataPartenza)))</f>
        <v/>
      </c>
      <c r="C77" s="10" t="n"/>
      <c r="D77" s="10" t="n"/>
      <c r="E77" s="10" t="n"/>
      <c r="F77" s="11" t="n"/>
      <c r="G77" s="23">
        <f>IF(E77="","",IF(UPPER(F77)="JPY",E77/Tasso_JPY_EUR,E77))</f>
        <v/>
      </c>
      <c r="H77" s="10" t="n"/>
      <c r="I77" s="11" t="n"/>
      <c r="J77" s="11" t="n"/>
      <c r="K77" s="11" t="n"/>
      <c r="L77" s="12">
        <f>COUNTIF(I77:K77,"X")</f>
        <v/>
      </c>
      <c r="M77" s="24">
        <f>IF(OR(G77="",L77=0),0,G77/L77)</f>
        <v/>
      </c>
      <c r="N77" s="10" t="n"/>
    </row>
    <row r="78" ht="20" customHeight="1">
      <c r="A78" s="21" t="n"/>
      <c r="B78" s="22">
        <f>IF(A78="","",IF(A78&lt;DataPartenza,"pre",MAX(1,A78-DataPartenza)))</f>
        <v/>
      </c>
      <c r="C78" s="10" t="n"/>
      <c r="D78" s="10" t="n"/>
      <c r="E78" s="10" t="n"/>
      <c r="F78" s="11" t="n"/>
      <c r="G78" s="23">
        <f>IF(E78="","",IF(UPPER(F78)="JPY",E78/Tasso_JPY_EUR,E78))</f>
        <v/>
      </c>
      <c r="H78" s="10" t="n"/>
      <c r="I78" s="11" t="n"/>
      <c r="J78" s="11" t="n"/>
      <c r="K78" s="11" t="n"/>
      <c r="L78" s="12">
        <f>COUNTIF(I78:K78,"X")</f>
        <v/>
      </c>
      <c r="M78" s="24">
        <f>IF(OR(G78="",L78=0),0,G78/L78)</f>
        <v/>
      </c>
      <c r="N78" s="10" t="n"/>
    </row>
    <row r="79" ht="20" customHeight="1">
      <c r="A79" s="21" t="n"/>
      <c r="B79" s="22">
        <f>IF(A79="","",IF(A79&lt;DataPartenza,"pre",MAX(1,A79-DataPartenza)))</f>
        <v/>
      </c>
      <c r="C79" s="10" t="n"/>
      <c r="D79" s="10" t="n"/>
      <c r="E79" s="10" t="n"/>
      <c r="F79" s="11" t="n"/>
      <c r="G79" s="23">
        <f>IF(E79="","",IF(UPPER(F79)="JPY",E79/Tasso_JPY_EUR,E79))</f>
        <v/>
      </c>
      <c r="H79" s="10" t="n"/>
      <c r="I79" s="11" t="n"/>
      <c r="J79" s="11" t="n"/>
      <c r="K79" s="11" t="n"/>
      <c r="L79" s="12">
        <f>COUNTIF(I79:K79,"X")</f>
        <v/>
      </c>
      <c r="M79" s="24">
        <f>IF(OR(G79="",L79=0),0,G79/L79)</f>
        <v/>
      </c>
      <c r="N79" s="10" t="n"/>
    </row>
    <row r="80" ht="20" customHeight="1">
      <c r="A80" s="21" t="n"/>
      <c r="B80" s="22">
        <f>IF(A80="","",IF(A80&lt;DataPartenza,"pre",MAX(1,A80-DataPartenza)))</f>
        <v/>
      </c>
      <c r="C80" s="10" t="n"/>
      <c r="D80" s="10" t="n"/>
      <c r="E80" s="10" t="n"/>
      <c r="F80" s="11" t="n"/>
      <c r="G80" s="23">
        <f>IF(E80="","",IF(UPPER(F80)="JPY",E80/Tasso_JPY_EUR,E80))</f>
        <v/>
      </c>
      <c r="H80" s="10" t="n"/>
      <c r="I80" s="11" t="n"/>
      <c r="J80" s="11" t="n"/>
      <c r="K80" s="11" t="n"/>
      <c r="L80" s="12">
        <f>COUNTIF(I80:K80,"X")</f>
        <v/>
      </c>
      <c r="M80" s="24">
        <f>IF(OR(G80="",L80=0),0,G80/L80)</f>
        <v/>
      </c>
      <c r="N80" s="10" t="n"/>
    </row>
    <row r="81" ht="20" customHeight="1">
      <c r="A81" s="21" t="n"/>
      <c r="B81" s="22">
        <f>IF(A81="","",IF(A81&lt;DataPartenza,"pre",MAX(1,A81-DataPartenza)))</f>
        <v/>
      </c>
      <c r="C81" s="10" t="n"/>
      <c r="D81" s="10" t="n"/>
      <c r="E81" s="10" t="n"/>
      <c r="F81" s="11" t="n"/>
      <c r="G81" s="23">
        <f>IF(E81="","",IF(UPPER(F81)="JPY",E81/Tasso_JPY_EUR,E81))</f>
        <v/>
      </c>
      <c r="H81" s="10" t="n"/>
      <c r="I81" s="11" t="n"/>
      <c r="J81" s="11" t="n"/>
      <c r="K81" s="11" t="n"/>
      <c r="L81" s="12">
        <f>COUNTIF(I81:K81,"X")</f>
        <v/>
      </c>
      <c r="M81" s="24">
        <f>IF(OR(G81="",L81=0),0,G81/L81)</f>
        <v/>
      </c>
      <c r="N81" s="10" t="n"/>
    </row>
    <row r="82" ht="20" customHeight="1">
      <c r="A82" s="21" t="n"/>
      <c r="B82" s="22">
        <f>IF(A82="","",IF(A82&lt;DataPartenza,"pre",MAX(1,A82-DataPartenza)))</f>
        <v/>
      </c>
      <c r="C82" s="10" t="n"/>
      <c r="D82" s="10" t="n"/>
      <c r="E82" s="10" t="n"/>
      <c r="F82" s="11" t="n"/>
      <c r="G82" s="23">
        <f>IF(E82="","",IF(UPPER(F82)="JPY",E82/Tasso_JPY_EUR,E82))</f>
        <v/>
      </c>
      <c r="H82" s="10" t="n"/>
      <c r="I82" s="11" t="n"/>
      <c r="J82" s="11" t="n"/>
      <c r="K82" s="11" t="n"/>
      <c r="L82" s="12">
        <f>COUNTIF(I82:K82,"X")</f>
        <v/>
      </c>
      <c r="M82" s="24">
        <f>IF(OR(G82="",L82=0),0,G82/L82)</f>
        <v/>
      </c>
      <c r="N82" s="10" t="n"/>
    </row>
    <row r="83" ht="20" customHeight="1">
      <c r="A83" s="21" t="n"/>
      <c r="B83" s="22">
        <f>IF(A83="","",IF(A83&lt;DataPartenza,"pre",MAX(1,A83-DataPartenza)))</f>
        <v/>
      </c>
      <c r="C83" s="10" t="n"/>
      <c r="D83" s="10" t="n"/>
      <c r="E83" s="10" t="n"/>
      <c r="F83" s="11" t="n"/>
      <c r="G83" s="23">
        <f>IF(E83="","",IF(UPPER(F83)="JPY",E83/Tasso_JPY_EUR,E83))</f>
        <v/>
      </c>
      <c r="H83" s="10" t="n"/>
      <c r="I83" s="11" t="n"/>
      <c r="J83" s="11" t="n"/>
      <c r="K83" s="11" t="n"/>
      <c r="L83" s="12">
        <f>COUNTIF(I83:K83,"X")</f>
        <v/>
      </c>
      <c r="M83" s="24">
        <f>IF(OR(G83="",L83=0),0,G83/L83)</f>
        <v/>
      </c>
      <c r="N83" s="10" t="n"/>
    </row>
    <row r="84" ht="20" customHeight="1">
      <c r="A84" s="21" t="n"/>
      <c r="B84" s="22">
        <f>IF(A84="","",IF(A84&lt;DataPartenza,"pre",MAX(1,A84-DataPartenza)))</f>
        <v/>
      </c>
      <c r="C84" s="10" t="n"/>
      <c r="D84" s="10" t="n"/>
      <c r="E84" s="10" t="n"/>
      <c r="F84" s="11" t="n"/>
      <c r="G84" s="23">
        <f>IF(E84="","",IF(UPPER(F84)="JPY",E84/Tasso_JPY_EUR,E84))</f>
        <v/>
      </c>
      <c r="H84" s="10" t="n"/>
      <c r="I84" s="11" t="n"/>
      <c r="J84" s="11" t="n"/>
      <c r="K84" s="11" t="n"/>
      <c r="L84" s="12">
        <f>COUNTIF(I84:K84,"X")</f>
        <v/>
      </c>
      <c r="M84" s="24">
        <f>IF(OR(G84="",L84=0),0,G84/L84)</f>
        <v/>
      </c>
      <c r="N84" s="10" t="n"/>
    </row>
    <row r="85" ht="20" customHeight="1">
      <c r="A85" s="21" t="n"/>
      <c r="B85" s="22">
        <f>IF(A85="","",IF(A85&lt;DataPartenza,"pre",MAX(1,A85-DataPartenza)))</f>
        <v/>
      </c>
      <c r="C85" s="10" t="n"/>
      <c r="D85" s="10" t="n"/>
      <c r="E85" s="10" t="n"/>
      <c r="F85" s="11" t="n"/>
      <c r="G85" s="23">
        <f>IF(E85="","",IF(UPPER(F85)="JPY",E85/Tasso_JPY_EUR,E85))</f>
        <v/>
      </c>
      <c r="H85" s="10" t="n"/>
      <c r="I85" s="11" t="n"/>
      <c r="J85" s="11" t="n"/>
      <c r="K85" s="11" t="n"/>
      <c r="L85" s="12">
        <f>COUNTIF(I85:K85,"X")</f>
        <v/>
      </c>
      <c r="M85" s="24">
        <f>IF(OR(G85="",L85=0),0,G85/L85)</f>
        <v/>
      </c>
      <c r="N85" s="10" t="n"/>
    </row>
    <row r="86" ht="20" customHeight="1">
      <c r="A86" s="21" t="n"/>
      <c r="B86" s="22">
        <f>IF(A86="","",IF(A86&lt;DataPartenza,"pre",MAX(1,A86-DataPartenza)))</f>
        <v/>
      </c>
      <c r="C86" s="10" t="n"/>
      <c r="D86" s="10" t="n"/>
      <c r="E86" s="10" t="n"/>
      <c r="F86" s="11" t="n"/>
      <c r="G86" s="23">
        <f>IF(E86="","",IF(UPPER(F86)="JPY",E86/Tasso_JPY_EUR,E86))</f>
        <v/>
      </c>
      <c r="H86" s="10" t="n"/>
      <c r="I86" s="11" t="n"/>
      <c r="J86" s="11" t="n"/>
      <c r="K86" s="11" t="n"/>
      <c r="L86" s="12">
        <f>COUNTIF(I86:K86,"X")</f>
        <v/>
      </c>
      <c r="M86" s="24">
        <f>IF(OR(G86="",L86=0),0,G86/L86)</f>
        <v/>
      </c>
      <c r="N86" s="10" t="n"/>
    </row>
    <row r="87" ht="20" customHeight="1">
      <c r="A87" s="21" t="n"/>
      <c r="B87" s="22">
        <f>IF(A87="","",IF(A87&lt;DataPartenza,"pre",MAX(1,A87-DataPartenza)))</f>
        <v/>
      </c>
      <c r="C87" s="10" t="n"/>
      <c r="D87" s="10" t="n"/>
      <c r="E87" s="10" t="n"/>
      <c r="F87" s="11" t="n"/>
      <c r="G87" s="23">
        <f>IF(E87="","",IF(UPPER(F87)="JPY",E87/Tasso_JPY_EUR,E87))</f>
        <v/>
      </c>
      <c r="H87" s="10" t="n"/>
      <c r="I87" s="11" t="n"/>
      <c r="J87" s="11" t="n"/>
      <c r="K87" s="11" t="n"/>
      <c r="L87" s="12">
        <f>COUNTIF(I87:K87,"X")</f>
        <v/>
      </c>
      <c r="M87" s="24">
        <f>IF(OR(G87="",L87=0),0,G87/L87)</f>
        <v/>
      </c>
      <c r="N87" s="10" t="n"/>
    </row>
    <row r="88" ht="20" customHeight="1">
      <c r="A88" s="21" t="n"/>
      <c r="B88" s="22">
        <f>IF(A88="","",IF(A88&lt;DataPartenza,"pre",MAX(1,A88-DataPartenza)))</f>
        <v/>
      </c>
      <c r="C88" s="10" t="n"/>
      <c r="D88" s="10" t="n"/>
      <c r="E88" s="10" t="n"/>
      <c r="F88" s="11" t="n"/>
      <c r="G88" s="23">
        <f>IF(E88="","",IF(UPPER(F88)="JPY",E88/Tasso_JPY_EUR,E88))</f>
        <v/>
      </c>
      <c r="H88" s="10" t="n"/>
      <c r="I88" s="11" t="n"/>
      <c r="J88" s="11" t="n"/>
      <c r="K88" s="11" t="n"/>
      <c r="L88" s="12">
        <f>COUNTIF(I88:K88,"X")</f>
        <v/>
      </c>
      <c r="M88" s="24">
        <f>IF(OR(G88="",L88=0),0,G88/L88)</f>
        <v/>
      </c>
      <c r="N88" s="10" t="n"/>
    </row>
    <row r="89" ht="20" customHeight="1">
      <c r="A89" s="21" t="n"/>
      <c r="B89" s="22">
        <f>IF(A89="","",IF(A89&lt;DataPartenza,"pre",MAX(1,A89-DataPartenza)))</f>
        <v/>
      </c>
      <c r="C89" s="10" t="n"/>
      <c r="D89" s="10" t="n"/>
      <c r="E89" s="10" t="n"/>
      <c r="F89" s="11" t="n"/>
      <c r="G89" s="23">
        <f>IF(E89="","",IF(UPPER(F89)="JPY",E89/Tasso_JPY_EUR,E89))</f>
        <v/>
      </c>
      <c r="H89" s="10" t="n"/>
      <c r="I89" s="11" t="n"/>
      <c r="J89" s="11" t="n"/>
      <c r="K89" s="11" t="n"/>
      <c r="L89" s="12">
        <f>COUNTIF(I89:K89,"X")</f>
        <v/>
      </c>
      <c r="M89" s="24">
        <f>IF(OR(G89="",L89=0),0,G89/L89)</f>
        <v/>
      </c>
      <c r="N89" s="10" t="n"/>
    </row>
    <row r="90" ht="20" customHeight="1">
      <c r="A90" s="21" t="n"/>
      <c r="B90" s="22">
        <f>IF(A90="","",IF(A90&lt;DataPartenza,"pre",MAX(1,A90-DataPartenza)))</f>
        <v/>
      </c>
      <c r="C90" s="10" t="n"/>
      <c r="D90" s="10" t="n"/>
      <c r="E90" s="10" t="n"/>
      <c r="F90" s="11" t="n"/>
      <c r="G90" s="23">
        <f>IF(E90="","",IF(UPPER(F90)="JPY",E90/Tasso_JPY_EUR,E90))</f>
        <v/>
      </c>
      <c r="H90" s="10" t="n"/>
      <c r="I90" s="11" t="n"/>
      <c r="J90" s="11" t="n"/>
      <c r="K90" s="11" t="n"/>
      <c r="L90" s="12">
        <f>COUNTIF(I90:K90,"X")</f>
        <v/>
      </c>
      <c r="M90" s="24">
        <f>IF(OR(G90="",L90=0),0,G90/L90)</f>
        <v/>
      </c>
      <c r="N90" s="10" t="n"/>
    </row>
    <row r="91" ht="20" customHeight="1">
      <c r="A91" s="21" t="n"/>
      <c r="B91" s="22">
        <f>IF(A91="","",IF(A91&lt;DataPartenza,"pre",MAX(1,A91-DataPartenza)))</f>
        <v/>
      </c>
      <c r="C91" s="10" t="n"/>
      <c r="D91" s="10" t="n"/>
      <c r="E91" s="10" t="n"/>
      <c r="F91" s="11" t="n"/>
      <c r="G91" s="23">
        <f>IF(E91="","",IF(UPPER(F91)="JPY",E91/Tasso_JPY_EUR,E91))</f>
        <v/>
      </c>
      <c r="H91" s="10" t="n"/>
      <c r="I91" s="11" t="n"/>
      <c r="J91" s="11" t="n"/>
      <c r="K91" s="11" t="n"/>
      <c r="L91" s="12">
        <f>COUNTIF(I91:K91,"X")</f>
        <v/>
      </c>
      <c r="M91" s="24">
        <f>IF(OR(G91="",L91=0),0,G91/L91)</f>
        <v/>
      </c>
      <c r="N91" s="10" t="n"/>
    </row>
    <row r="92" ht="20" customHeight="1">
      <c r="A92" s="21" t="n"/>
      <c r="B92" s="22">
        <f>IF(A92="","",IF(A92&lt;DataPartenza,"pre",MAX(1,A92-DataPartenza)))</f>
        <v/>
      </c>
      <c r="C92" s="10" t="n"/>
      <c r="D92" s="10" t="n"/>
      <c r="E92" s="10" t="n"/>
      <c r="F92" s="11" t="n"/>
      <c r="G92" s="23">
        <f>IF(E92="","",IF(UPPER(F92)="JPY",E92/Tasso_JPY_EUR,E92))</f>
        <v/>
      </c>
      <c r="H92" s="10" t="n"/>
      <c r="I92" s="11" t="n"/>
      <c r="J92" s="11" t="n"/>
      <c r="K92" s="11" t="n"/>
      <c r="L92" s="12">
        <f>COUNTIF(I92:K92,"X")</f>
        <v/>
      </c>
      <c r="M92" s="24">
        <f>IF(OR(G92="",L92=0),0,G92/L92)</f>
        <v/>
      </c>
      <c r="N92" s="10" t="n"/>
    </row>
    <row r="93" ht="20" customHeight="1">
      <c r="A93" s="21" t="n"/>
      <c r="B93" s="22">
        <f>IF(A93="","",IF(A93&lt;DataPartenza,"pre",MAX(1,A93-DataPartenza)))</f>
        <v/>
      </c>
      <c r="C93" s="10" t="n"/>
      <c r="D93" s="10" t="n"/>
      <c r="E93" s="10" t="n"/>
      <c r="F93" s="11" t="n"/>
      <c r="G93" s="23">
        <f>IF(E93="","",IF(UPPER(F93)="JPY",E93/Tasso_JPY_EUR,E93))</f>
        <v/>
      </c>
      <c r="H93" s="10" t="n"/>
      <c r="I93" s="11" t="n"/>
      <c r="J93" s="11" t="n"/>
      <c r="K93" s="11" t="n"/>
      <c r="L93" s="12">
        <f>COUNTIF(I93:K93,"X")</f>
        <v/>
      </c>
      <c r="M93" s="24">
        <f>IF(OR(G93="",L93=0),0,G93/L93)</f>
        <v/>
      </c>
      <c r="N93" s="10" t="n"/>
    </row>
    <row r="94" ht="20" customHeight="1">
      <c r="A94" s="21" t="n"/>
      <c r="B94" s="22">
        <f>IF(A94="","",IF(A94&lt;DataPartenza,"pre",MAX(1,A94-DataPartenza)))</f>
        <v/>
      </c>
      <c r="C94" s="10" t="n"/>
      <c r="D94" s="10" t="n"/>
      <c r="E94" s="10" t="n"/>
      <c r="F94" s="11" t="n"/>
      <c r="G94" s="23">
        <f>IF(E94="","",IF(UPPER(F94)="JPY",E94/Tasso_JPY_EUR,E94))</f>
        <v/>
      </c>
      <c r="H94" s="10" t="n"/>
      <c r="I94" s="11" t="n"/>
      <c r="J94" s="11" t="n"/>
      <c r="K94" s="11" t="n"/>
      <c r="L94" s="12">
        <f>COUNTIF(I94:K94,"X")</f>
        <v/>
      </c>
      <c r="M94" s="24">
        <f>IF(OR(G94="",L94=0),0,G94/L94)</f>
        <v/>
      </c>
      <c r="N94" s="10" t="n"/>
    </row>
    <row r="95" ht="20" customHeight="1">
      <c r="A95" s="21" t="n"/>
      <c r="B95" s="22">
        <f>IF(A95="","",IF(A95&lt;DataPartenza,"pre",MAX(1,A95-DataPartenza)))</f>
        <v/>
      </c>
      <c r="C95" s="10" t="n"/>
      <c r="D95" s="10" t="n"/>
      <c r="E95" s="10" t="n"/>
      <c r="F95" s="11" t="n"/>
      <c r="G95" s="23">
        <f>IF(E95="","",IF(UPPER(F95)="JPY",E95/Tasso_JPY_EUR,E95))</f>
        <v/>
      </c>
      <c r="H95" s="10" t="n"/>
      <c r="I95" s="11" t="n"/>
      <c r="J95" s="11" t="n"/>
      <c r="K95" s="11" t="n"/>
      <c r="L95" s="12">
        <f>COUNTIF(I95:K95,"X")</f>
        <v/>
      </c>
      <c r="M95" s="24">
        <f>IF(OR(G95="",L95=0),0,G95/L95)</f>
        <v/>
      </c>
      <c r="N95" s="10" t="n"/>
    </row>
    <row r="96" ht="20" customHeight="1">
      <c r="A96" s="21" t="n"/>
      <c r="B96" s="22">
        <f>IF(A96="","",IF(A96&lt;DataPartenza,"pre",MAX(1,A96-DataPartenza)))</f>
        <v/>
      </c>
      <c r="C96" s="10" t="n"/>
      <c r="D96" s="10" t="n"/>
      <c r="E96" s="10" t="n"/>
      <c r="F96" s="11" t="n"/>
      <c r="G96" s="23">
        <f>IF(E96="","",IF(UPPER(F96)="JPY",E96/Tasso_JPY_EUR,E96))</f>
        <v/>
      </c>
      <c r="H96" s="10" t="n"/>
      <c r="I96" s="11" t="n"/>
      <c r="J96" s="11" t="n"/>
      <c r="K96" s="11" t="n"/>
      <c r="L96" s="12">
        <f>COUNTIF(I96:K96,"X")</f>
        <v/>
      </c>
      <c r="M96" s="24">
        <f>IF(OR(G96="",L96=0),0,G96/L96)</f>
        <v/>
      </c>
      <c r="N96" s="10" t="n"/>
    </row>
    <row r="97" ht="20" customHeight="1">
      <c r="A97" s="21" t="n"/>
      <c r="B97" s="22">
        <f>IF(A97="","",IF(A97&lt;DataPartenza,"pre",MAX(1,A97-DataPartenza)))</f>
        <v/>
      </c>
      <c r="C97" s="10" t="n"/>
      <c r="D97" s="10" t="n"/>
      <c r="E97" s="10" t="n"/>
      <c r="F97" s="11" t="n"/>
      <c r="G97" s="23">
        <f>IF(E97="","",IF(UPPER(F97)="JPY",E97/Tasso_JPY_EUR,E97))</f>
        <v/>
      </c>
      <c r="H97" s="10" t="n"/>
      <c r="I97" s="11" t="n"/>
      <c r="J97" s="11" t="n"/>
      <c r="K97" s="11" t="n"/>
      <c r="L97" s="12">
        <f>COUNTIF(I97:K97,"X")</f>
        <v/>
      </c>
      <c r="M97" s="24">
        <f>IF(OR(G97="",L97=0),0,G97/L97)</f>
        <v/>
      </c>
      <c r="N97" s="10" t="n"/>
    </row>
    <row r="98" ht="20" customHeight="1">
      <c r="A98" s="21" t="n"/>
      <c r="B98" s="22">
        <f>IF(A98="","",IF(A98&lt;DataPartenza,"pre",MAX(1,A98-DataPartenza)))</f>
        <v/>
      </c>
      <c r="C98" s="10" t="n"/>
      <c r="D98" s="10" t="n"/>
      <c r="E98" s="10" t="n"/>
      <c r="F98" s="11" t="n"/>
      <c r="G98" s="23">
        <f>IF(E98="","",IF(UPPER(F98)="JPY",E98/Tasso_JPY_EUR,E98))</f>
        <v/>
      </c>
      <c r="H98" s="10" t="n"/>
      <c r="I98" s="11" t="n"/>
      <c r="J98" s="11" t="n"/>
      <c r="K98" s="11" t="n"/>
      <c r="L98" s="12">
        <f>COUNTIF(I98:K98,"X")</f>
        <v/>
      </c>
      <c r="M98" s="24">
        <f>IF(OR(G98="",L98=0),0,G98/L98)</f>
        <v/>
      </c>
      <c r="N98" s="10" t="n"/>
    </row>
    <row r="99" ht="20" customHeight="1">
      <c r="A99" s="21" t="n"/>
      <c r="B99" s="22">
        <f>IF(A99="","",IF(A99&lt;DataPartenza,"pre",MAX(1,A99-DataPartenza)))</f>
        <v/>
      </c>
      <c r="C99" s="10" t="n"/>
      <c r="D99" s="10" t="n"/>
      <c r="E99" s="10" t="n"/>
      <c r="F99" s="11" t="n"/>
      <c r="G99" s="23">
        <f>IF(E99="","",IF(UPPER(F99)="JPY",E99/Tasso_JPY_EUR,E99))</f>
        <v/>
      </c>
      <c r="H99" s="10" t="n"/>
      <c r="I99" s="11" t="n"/>
      <c r="J99" s="11" t="n"/>
      <c r="K99" s="11" t="n"/>
      <c r="L99" s="12">
        <f>COUNTIF(I99:K99,"X")</f>
        <v/>
      </c>
      <c r="M99" s="24">
        <f>IF(OR(G99="",L99=0),0,G99/L99)</f>
        <v/>
      </c>
      <c r="N99" s="10" t="n"/>
    </row>
    <row r="100" ht="20" customHeight="1">
      <c r="A100" s="21" t="n"/>
      <c r="B100" s="22">
        <f>IF(A100="","",IF(A100&lt;DataPartenza,"pre",MAX(1,A100-DataPartenza)))</f>
        <v/>
      </c>
      <c r="C100" s="10" t="n"/>
      <c r="D100" s="10" t="n"/>
      <c r="E100" s="10" t="n"/>
      <c r="F100" s="11" t="n"/>
      <c r="G100" s="23">
        <f>IF(E100="","",IF(UPPER(F100)="JPY",E100/Tasso_JPY_EUR,E100))</f>
        <v/>
      </c>
      <c r="H100" s="10" t="n"/>
      <c r="I100" s="11" t="n"/>
      <c r="J100" s="11" t="n"/>
      <c r="K100" s="11" t="n"/>
      <c r="L100" s="12">
        <f>COUNTIF(I100:K100,"X")</f>
        <v/>
      </c>
      <c r="M100" s="24">
        <f>IF(OR(G100="",L100=0),0,G100/L100)</f>
        <v/>
      </c>
      <c r="N100" s="10" t="n"/>
    </row>
    <row r="101" ht="20" customHeight="1">
      <c r="A101" s="21" t="n"/>
      <c r="B101" s="22">
        <f>IF(A101="","",IF(A101&lt;DataPartenza,"pre",MAX(1,A101-DataPartenza)))</f>
        <v/>
      </c>
      <c r="C101" s="10" t="n"/>
      <c r="D101" s="10" t="n"/>
      <c r="E101" s="10" t="n"/>
      <c r="F101" s="11" t="n"/>
      <c r="G101" s="23">
        <f>IF(E101="","",IF(UPPER(F101)="JPY",E101/Tasso_JPY_EUR,E101))</f>
        <v/>
      </c>
      <c r="H101" s="10" t="n"/>
      <c r="I101" s="11" t="n"/>
      <c r="J101" s="11" t="n"/>
      <c r="K101" s="11" t="n"/>
      <c r="L101" s="12">
        <f>COUNTIF(I101:K101,"X")</f>
        <v/>
      </c>
      <c r="M101" s="24">
        <f>IF(OR(G101="",L101=0),0,G101/L101)</f>
        <v/>
      </c>
      <c r="N101" s="10" t="n"/>
    </row>
    <row r="102" ht="20" customHeight="1">
      <c r="A102" s="21" t="n"/>
      <c r="B102" s="22">
        <f>IF(A102="","",IF(A102&lt;DataPartenza,"pre",MAX(1,A102-DataPartenza)))</f>
        <v/>
      </c>
      <c r="C102" s="10" t="n"/>
      <c r="D102" s="10" t="n"/>
      <c r="E102" s="10" t="n"/>
      <c r="F102" s="11" t="n"/>
      <c r="G102" s="23">
        <f>IF(E102="","",IF(UPPER(F102)="JPY",E102/Tasso_JPY_EUR,E102))</f>
        <v/>
      </c>
      <c r="H102" s="10" t="n"/>
      <c r="I102" s="11" t="n"/>
      <c r="J102" s="11" t="n"/>
      <c r="K102" s="11" t="n"/>
      <c r="L102" s="12">
        <f>COUNTIF(I102:K102,"X")</f>
        <v/>
      </c>
      <c r="M102" s="24">
        <f>IF(OR(G102="",L102=0),0,G102/L102)</f>
        <v/>
      </c>
      <c r="N102" s="10" t="n"/>
    </row>
    <row r="103" ht="20" customHeight="1">
      <c r="A103" s="21" t="n"/>
      <c r="B103" s="22">
        <f>IF(A103="","",IF(A103&lt;DataPartenza,"pre",MAX(1,A103-DataPartenza)))</f>
        <v/>
      </c>
      <c r="C103" s="10" t="n"/>
      <c r="D103" s="10" t="n"/>
      <c r="E103" s="10" t="n"/>
      <c r="F103" s="11" t="n"/>
      <c r="G103" s="23">
        <f>IF(E103="","",IF(UPPER(F103)="JPY",E103/Tasso_JPY_EUR,E103))</f>
        <v/>
      </c>
      <c r="H103" s="10" t="n"/>
      <c r="I103" s="11" t="n"/>
      <c r="J103" s="11" t="n"/>
      <c r="K103" s="11" t="n"/>
      <c r="L103" s="12">
        <f>COUNTIF(I103:K103,"X")</f>
        <v/>
      </c>
      <c r="M103" s="24">
        <f>IF(OR(G103="",L103=0),0,G103/L103)</f>
        <v/>
      </c>
      <c r="N103" s="10" t="n"/>
    </row>
    <row r="104" ht="20" customHeight="1">
      <c r="A104" s="21" t="n"/>
      <c r="B104" s="22">
        <f>IF(A104="","",IF(A104&lt;DataPartenza,"pre",MAX(1,A104-DataPartenza)))</f>
        <v/>
      </c>
      <c r="C104" s="10" t="n"/>
      <c r="D104" s="10" t="n"/>
      <c r="E104" s="10" t="n"/>
      <c r="F104" s="11" t="n"/>
      <c r="G104" s="23">
        <f>IF(E104="","",IF(UPPER(F104)="JPY",E104/Tasso_JPY_EUR,E104))</f>
        <v/>
      </c>
      <c r="H104" s="10" t="n"/>
      <c r="I104" s="11" t="n"/>
      <c r="J104" s="11" t="n"/>
      <c r="K104" s="11" t="n"/>
      <c r="L104" s="12">
        <f>COUNTIF(I104:K104,"X")</f>
        <v/>
      </c>
      <c r="M104" s="24">
        <f>IF(OR(G104="",L104=0),0,G104/L104)</f>
        <v/>
      </c>
      <c r="N104" s="10" t="n"/>
    </row>
    <row r="105" ht="20" customHeight="1">
      <c r="A105" s="21" t="n"/>
      <c r="B105" s="22">
        <f>IF(A105="","",IF(A105&lt;DataPartenza,"pre",MAX(1,A105-DataPartenza)))</f>
        <v/>
      </c>
      <c r="C105" s="10" t="n"/>
      <c r="D105" s="10" t="n"/>
      <c r="E105" s="10" t="n"/>
      <c r="F105" s="11" t="n"/>
      <c r="G105" s="23">
        <f>IF(E105="","",IF(UPPER(F105)="JPY",E105/Tasso_JPY_EUR,E105))</f>
        <v/>
      </c>
      <c r="H105" s="10" t="n"/>
      <c r="I105" s="11" t="n"/>
      <c r="J105" s="11" t="n"/>
      <c r="K105" s="11" t="n"/>
      <c r="L105" s="12">
        <f>COUNTIF(I105:K105,"X")</f>
        <v/>
      </c>
      <c r="M105" s="24">
        <f>IF(OR(G105="",L105=0),0,G105/L105)</f>
        <v/>
      </c>
      <c r="N105" s="10" t="n"/>
    </row>
    <row r="106" ht="20" customHeight="1">
      <c r="A106" s="21" t="n"/>
      <c r="B106" s="22">
        <f>IF(A106="","",IF(A106&lt;DataPartenza,"pre",MAX(1,A106-DataPartenza)))</f>
        <v/>
      </c>
      <c r="C106" s="10" t="n"/>
      <c r="D106" s="10" t="n"/>
      <c r="E106" s="10" t="n"/>
      <c r="F106" s="11" t="n"/>
      <c r="G106" s="23">
        <f>IF(E106="","",IF(UPPER(F106)="JPY",E106/Tasso_JPY_EUR,E106))</f>
        <v/>
      </c>
      <c r="H106" s="10" t="n"/>
      <c r="I106" s="11" t="n"/>
      <c r="J106" s="11" t="n"/>
      <c r="K106" s="11" t="n"/>
      <c r="L106" s="12">
        <f>COUNTIF(I106:K106,"X")</f>
        <v/>
      </c>
      <c r="M106" s="24">
        <f>IF(OR(G106="",L106=0),0,G106/L106)</f>
        <v/>
      </c>
      <c r="N106" s="10" t="n"/>
    </row>
    <row r="107" ht="20" customHeight="1">
      <c r="A107" s="21" t="n"/>
      <c r="B107" s="22">
        <f>IF(A107="","",IF(A107&lt;DataPartenza,"pre",MAX(1,A107-DataPartenza)))</f>
        <v/>
      </c>
      <c r="C107" s="10" t="n"/>
      <c r="D107" s="10" t="n"/>
      <c r="E107" s="10" t="n"/>
      <c r="F107" s="11" t="n"/>
      <c r="G107" s="23">
        <f>IF(E107="","",IF(UPPER(F107)="JPY",E107/Tasso_JPY_EUR,E107))</f>
        <v/>
      </c>
      <c r="H107" s="10" t="n"/>
      <c r="I107" s="11" t="n"/>
      <c r="J107" s="11" t="n"/>
      <c r="K107" s="11" t="n"/>
      <c r="L107" s="12">
        <f>COUNTIF(I107:K107,"X")</f>
        <v/>
      </c>
      <c r="M107" s="24">
        <f>IF(OR(G107="",L107=0),0,G107/L107)</f>
        <v/>
      </c>
      <c r="N107" s="10" t="n"/>
    </row>
    <row r="108" ht="20" customHeight="1">
      <c r="A108" s="21" t="n"/>
      <c r="B108" s="22">
        <f>IF(A108="","",IF(A108&lt;DataPartenza,"pre",MAX(1,A108-DataPartenza)))</f>
        <v/>
      </c>
      <c r="C108" s="10" t="n"/>
      <c r="D108" s="10" t="n"/>
      <c r="E108" s="10" t="n"/>
      <c r="F108" s="11" t="n"/>
      <c r="G108" s="23">
        <f>IF(E108="","",IF(UPPER(F108)="JPY",E108/Tasso_JPY_EUR,E108))</f>
        <v/>
      </c>
      <c r="H108" s="10" t="n"/>
      <c r="I108" s="11" t="n"/>
      <c r="J108" s="11" t="n"/>
      <c r="K108" s="11" t="n"/>
      <c r="L108" s="12">
        <f>COUNTIF(I108:K108,"X")</f>
        <v/>
      </c>
      <c r="M108" s="24">
        <f>IF(OR(G108="",L108=0),0,G108/L108)</f>
        <v/>
      </c>
      <c r="N108" s="10" t="n"/>
    </row>
    <row r="109" ht="20" customHeight="1">
      <c r="A109" s="21" t="n"/>
      <c r="B109" s="22">
        <f>IF(A109="","",IF(A109&lt;DataPartenza,"pre",MAX(1,A109-DataPartenza)))</f>
        <v/>
      </c>
      <c r="C109" s="10" t="n"/>
      <c r="D109" s="10" t="n"/>
      <c r="E109" s="10" t="n"/>
      <c r="F109" s="11" t="n"/>
      <c r="G109" s="23">
        <f>IF(E109="","",IF(UPPER(F109)="JPY",E109/Tasso_JPY_EUR,E109))</f>
        <v/>
      </c>
      <c r="H109" s="10" t="n"/>
      <c r="I109" s="11" t="n"/>
      <c r="J109" s="11" t="n"/>
      <c r="K109" s="11" t="n"/>
      <c r="L109" s="12">
        <f>COUNTIF(I109:K109,"X")</f>
        <v/>
      </c>
      <c r="M109" s="24">
        <f>IF(OR(G109="",L109=0),0,G109/L109)</f>
        <v/>
      </c>
      <c r="N109" s="10" t="n"/>
    </row>
    <row r="110" ht="20" customHeight="1">
      <c r="A110" s="21" t="n"/>
      <c r="B110" s="22">
        <f>IF(A110="","",IF(A110&lt;DataPartenza,"pre",MAX(1,A110-DataPartenza)))</f>
        <v/>
      </c>
      <c r="C110" s="10" t="n"/>
      <c r="D110" s="10" t="n"/>
      <c r="E110" s="10" t="n"/>
      <c r="F110" s="11" t="n"/>
      <c r="G110" s="23">
        <f>IF(E110="","",IF(UPPER(F110)="JPY",E110/Tasso_JPY_EUR,E110))</f>
        <v/>
      </c>
      <c r="H110" s="10" t="n"/>
      <c r="I110" s="11" t="n"/>
      <c r="J110" s="11" t="n"/>
      <c r="K110" s="11" t="n"/>
      <c r="L110" s="12">
        <f>COUNTIF(I110:K110,"X")</f>
        <v/>
      </c>
      <c r="M110" s="24">
        <f>IF(OR(G110="",L110=0),0,G110/L110)</f>
        <v/>
      </c>
      <c r="N110" s="10" t="n"/>
    </row>
    <row r="111" ht="20" customHeight="1">
      <c r="A111" s="21" t="n"/>
      <c r="B111" s="22">
        <f>IF(A111="","",IF(A111&lt;DataPartenza,"pre",MAX(1,A111-DataPartenza)))</f>
        <v/>
      </c>
      <c r="C111" s="10" t="n"/>
      <c r="D111" s="10" t="n"/>
      <c r="E111" s="10" t="n"/>
      <c r="F111" s="11" t="n"/>
      <c r="G111" s="23">
        <f>IF(E111="","",IF(UPPER(F111)="JPY",E111/Tasso_JPY_EUR,E111))</f>
        <v/>
      </c>
      <c r="H111" s="10" t="n"/>
      <c r="I111" s="11" t="n"/>
      <c r="J111" s="11" t="n"/>
      <c r="K111" s="11" t="n"/>
      <c r="L111" s="12">
        <f>COUNTIF(I111:K111,"X")</f>
        <v/>
      </c>
      <c r="M111" s="24">
        <f>IF(OR(G111="",L111=0),0,G111/L111)</f>
        <v/>
      </c>
      <c r="N111" s="10" t="n"/>
    </row>
    <row r="112" ht="20" customHeight="1">
      <c r="A112" s="21" t="n"/>
      <c r="B112" s="22">
        <f>IF(A112="","",IF(A112&lt;DataPartenza,"pre",MAX(1,A112-DataPartenza)))</f>
        <v/>
      </c>
      <c r="C112" s="10" t="n"/>
      <c r="D112" s="10" t="n"/>
      <c r="E112" s="10" t="n"/>
      <c r="F112" s="11" t="n"/>
      <c r="G112" s="23">
        <f>IF(E112="","",IF(UPPER(F112)="JPY",E112/Tasso_JPY_EUR,E112))</f>
        <v/>
      </c>
      <c r="H112" s="10" t="n"/>
      <c r="I112" s="11" t="n"/>
      <c r="J112" s="11" t="n"/>
      <c r="K112" s="11" t="n"/>
      <c r="L112" s="12">
        <f>COUNTIF(I112:K112,"X")</f>
        <v/>
      </c>
      <c r="M112" s="24">
        <f>IF(OR(G112="",L112=0),0,G112/L112)</f>
        <v/>
      </c>
      <c r="N112" s="10" t="n"/>
    </row>
    <row r="113" ht="20" customHeight="1">
      <c r="A113" s="21" t="n"/>
      <c r="B113" s="22">
        <f>IF(A113="","",IF(A113&lt;DataPartenza,"pre",MAX(1,A113-DataPartenza)))</f>
        <v/>
      </c>
      <c r="C113" s="10" t="n"/>
      <c r="D113" s="10" t="n"/>
      <c r="E113" s="10" t="n"/>
      <c r="F113" s="11" t="n"/>
      <c r="G113" s="23">
        <f>IF(E113="","",IF(UPPER(F113)="JPY",E113/Tasso_JPY_EUR,E113))</f>
        <v/>
      </c>
      <c r="H113" s="10" t="n"/>
      <c r="I113" s="11" t="n"/>
      <c r="J113" s="11" t="n"/>
      <c r="K113" s="11" t="n"/>
      <c r="L113" s="12">
        <f>COUNTIF(I113:K113,"X")</f>
        <v/>
      </c>
      <c r="M113" s="24">
        <f>IF(OR(G113="",L113=0),0,G113/L113)</f>
        <v/>
      </c>
      <c r="N113" s="10" t="n"/>
    </row>
    <row r="114" ht="20" customHeight="1">
      <c r="A114" s="21" t="n"/>
      <c r="B114" s="22">
        <f>IF(A114="","",IF(A114&lt;DataPartenza,"pre",MAX(1,A114-DataPartenza)))</f>
        <v/>
      </c>
      <c r="C114" s="10" t="n"/>
      <c r="D114" s="10" t="n"/>
      <c r="E114" s="10" t="n"/>
      <c r="F114" s="11" t="n"/>
      <c r="G114" s="23">
        <f>IF(E114="","",IF(UPPER(F114)="JPY",E114/Tasso_JPY_EUR,E114))</f>
        <v/>
      </c>
      <c r="H114" s="10" t="n"/>
      <c r="I114" s="11" t="n"/>
      <c r="J114" s="11" t="n"/>
      <c r="K114" s="11" t="n"/>
      <c r="L114" s="12">
        <f>COUNTIF(I114:K114,"X")</f>
        <v/>
      </c>
      <c r="M114" s="24">
        <f>IF(OR(G114="",L114=0),0,G114/L114)</f>
        <v/>
      </c>
      <c r="N114" s="10" t="n"/>
    </row>
    <row r="115" ht="20" customHeight="1">
      <c r="A115" s="21" t="n"/>
      <c r="B115" s="22">
        <f>IF(A115="","",IF(A115&lt;DataPartenza,"pre",MAX(1,A115-DataPartenza)))</f>
        <v/>
      </c>
      <c r="C115" s="10" t="n"/>
      <c r="D115" s="10" t="n"/>
      <c r="E115" s="10" t="n"/>
      <c r="F115" s="11" t="n"/>
      <c r="G115" s="23">
        <f>IF(E115="","",IF(UPPER(F115)="JPY",E115/Tasso_JPY_EUR,E115))</f>
        <v/>
      </c>
      <c r="H115" s="10" t="n"/>
      <c r="I115" s="11" t="n"/>
      <c r="J115" s="11" t="n"/>
      <c r="K115" s="11" t="n"/>
      <c r="L115" s="12">
        <f>COUNTIF(I115:K115,"X")</f>
        <v/>
      </c>
      <c r="M115" s="24">
        <f>IF(OR(G115="",L115=0),0,G115/L115)</f>
        <v/>
      </c>
      <c r="N115" s="10" t="n"/>
    </row>
    <row r="116" ht="20" customHeight="1">
      <c r="A116" s="21" t="n"/>
      <c r="B116" s="22">
        <f>IF(A116="","",IF(A116&lt;DataPartenza,"pre",MAX(1,A116-DataPartenza)))</f>
        <v/>
      </c>
      <c r="C116" s="10" t="n"/>
      <c r="D116" s="10" t="n"/>
      <c r="E116" s="10" t="n"/>
      <c r="F116" s="11" t="n"/>
      <c r="G116" s="23">
        <f>IF(E116="","",IF(UPPER(F116)="JPY",E116/Tasso_JPY_EUR,E116))</f>
        <v/>
      </c>
      <c r="H116" s="10" t="n"/>
      <c r="I116" s="11" t="n"/>
      <c r="J116" s="11" t="n"/>
      <c r="K116" s="11" t="n"/>
      <c r="L116" s="12">
        <f>COUNTIF(I116:K116,"X")</f>
        <v/>
      </c>
      <c r="M116" s="24">
        <f>IF(OR(G116="",L116=0),0,G116/L116)</f>
        <v/>
      </c>
      <c r="N116" s="10" t="n"/>
    </row>
    <row r="117" ht="20" customHeight="1">
      <c r="A117" s="21" t="n"/>
      <c r="B117" s="22">
        <f>IF(A117="","",IF(A117&lt;DataPartenza,"pre",MAX(1,A117-DataPartenza)))</f>
        <v/>
      </c>
      <c r="C117" s="10" t="n"/>
      <c r="D117" s="10" t="n"/>
      <c r="E117" s="10" t="n"/>
      <c r="F117" s="11" t="n"/>
      <c r="G117" s="23">
        <f>IF(E117="","",IF(UPPER(F117)="JPY",E117/Tasso_JPY_EUR,E117))</f>
        <v/>
      </c>
      <c r="H117" s="10" t="n"/>
      <c r="I117" s="11" t="n"/>
      <c r="J117" s="11" t="n"/>
      <c r="K117" s="11" t="n"/>
      <c r="L117" s="12">
        <f>COUNTIF(I117:K117,"X")</f>
        <v/>
      </c>
      <c r="M117" s="24">
        <f>IF(OR(G117="",L117=0),0,G117/L117)</f>
        <v/>
      </c>
      <c r="N117" s="10" t="n"/>
    </row>
    <row r="118" ht="20" customHeight="1">
      <c r="A118" s="21" t="n"/>
      <c r="B118" s="22">
        <f>IF(A118="","",IF(A118&lt;DataPartenza,"pre",MAX(1,A118-DataPartenza)))</f>
        <v/>
      </c>
      <c r="C118" s="10" t="n"/>
      <c r="D118" s="10" t="n"/>
      <c r="E118" s="10" t="n"/>
      <c r="F118" s="11" t="n"/>
      <c r="G118" s="23">
        <f>IF(E118="","",IF(UPPER(F118)="JPY",E118/Tasso_JPY_EUR,E118))</f>
        <v/>
      </c>
      <c r="H118" s="10" t="n"/>
      <c r="I118" s="11" t="n"/>
      <c r="J118" s="11" t="n"/>
      <c r="K118" s="11" t="n"/>
      <c r="L118" s="12">
        <f>COUNTIF(I118:K118,"X")</f>
        <v/>
      </c>
      <c r="M118" s="24">
        <f>IF(OR(G118="",L118=0),0,G118/L118)</f>
        <v/>
      </c>
      <c r="N118" s="10" t="n"/>
    </row>
    <row r="119" ht="20" customHeight="1">
      <c r="A119" s="21" t="n"/>
      <c r="B119" s="22">
        <f>IF(A119="","",IF(A119&lt;DataPartenza,"pre",MAX(1,A119-DataPartenza)))</f>
        <v/>
      </c>
      <c r="C119" s="10" t="n"/>
      <c r="D119" s="10" t="n"/>
      <c r="E119" s="10" t="n"/>
      <c r="F119" s="11" t="n"/>
      <c r="G119" s="23">
        <f>IF(E119="","",IF(UPPER(F119)="JPY",E119/Tasso_JPY_EUR,E119))</f>
        <v/>
      </c>
      <c r="H119" s="10" t="n"/>
      <c r="I119" s="11" t="n"/>
      <c r="J119" s="11" t="n"/>
      <c r="K119" s="11" t="n"/>
      <c r="L119" s="12">
        <f>COUNTIF(I119:K119,"X")</f>
        <v/>
      </c>
      <c r="M119" s="24">
        <f>IF(OR(G119="",L119=0),0,G119/L119)</f>
        <v/>
      </c>
      <c r="N119" s="10" t="n"/>
    </row>
    <row r="120" ht="20" customHeight="1">
      <c r="A120" s="21" t="n"/>
      <c r="B120" s="22">
        <f>IF(A120="","",IF(A120&lt;DataPartenza,"pre",MAX(1,A120-DataPartenza)))</f>
        <v/>
      </c>
      <c r="C120" s="10" t="n"/>
      <c r="D120" s="10" t="n"/>
      <c r="E120" s="10" t="n"/>
      <c r="F120" s="11" t="n"/>
      <c r="G120" s="23">
        <f>IF(E120="","",IF(UPPER(F120)="JPY",E120/Tasso_JPY_EUR,E120))</f>
        <v/>
      </c>
      <c r="H120" s="10" t="n"/>
      <c r="I120" s="11" t="n"/>
      <c r="J120" s="11" t="n"/>
      <c r="K120" s="11" t="n"/>
      <c r="L120" s="12">
        <f>COUNTIF(I120:K120,"X")</f>
        <v/>
      </c>
      <c r="M120" s="24">
        <f>IF(OR(G120="",L120=0),0,G120/L120)</f>
        <v/>
      </c>
      <c r="N120" s="10" t="n"/>
    </row>
    <row r="121" ht="20" customHeight="1">
      <c r="A121" s="21" t="n"/>
      <c r="B121" s="22">
        <f>IF(A121="","",IF(A121&lt;DataPartenza,"pre",MAX(1,A121-DataPartenza)))</f>
        <v/>
      </c>
      <c r="C121" s="10" t="n"/>
      <c r="D121" s="10" t="n"/>
      <c r="E121" s="10" t="n"/>
      <c r="F121" s="11" t="n"/>
      <c r="G121" s="23">
        <f>IF(E121="","",IF(UPPER(F121)="JPY",E121/Tasso_JPY_EUR,E121))</f>
        <v/>
      </c>
      <c r="H121" s="10" t="n"/>
      <c r="I121" s="11" t="n"/>
      <c r="J121" s="11" t="n"/>
      <c r="K121" s="11" t="n"/>
      <c r="L121" s="12">
        <f>COUNTIF(I121:K121,"X")</f>
        <v/>
      </c>
      <c r="M121" s="24">
        <f>IF(OR(G121="",L121=0),0,G121/L121)</f>
        <v/>
      </c>
      <c r="N121" s="10" t="n"/>
    </row>
    <row r="122" ht="20" customHeight="1">
      <c r="A122" s="21" t="n"/>
      <c r="B122" s="22">
        <f>IF(A122="","",IF(A122&lt;DataPartenza,"pre",MAX(1,A122-DataPartenza)))</f>
        <v/>
      </c>
      <c r="C122" s="10" t="n"/>
      <c r="D122" s="10" t="n"/>
      <c r="E122" s="10" t="n"/>
      <c r="F122" s="11" t="n"/>
      <c r="G122" s="23">
        <f>IF(E122="","",IF(UPPER(F122)="JPY",E122/Tasso_JPY_EUR,E122))</f>
        <v/>
      </c>
      <c r="H122" s="10" t="n"/>
      <c r="I122" s="11" t="n"/>
      <c r="J122" s="11" t="n"/>
      <c r="K122" s="11" t="n"/>
      <c r="L122" s="12">
        <f>COUNTIF(I122:K122,"X")</f>
        <v/>
      </c>
      <c r="M122" s="24">
        <f>IF(OR(G122="",L122=0),0,G122/L122)</f>
        <v/>
      </c>
      <c r="N122" s="10" t="n"/>
    </row>
    <row r="123" ht="20" customHeight="1">
      <c r="A123" s="21" t="n"/>
      <c r="B123" s="22">
        <f>IF(A123="","",IF(A123&lt;DataPartenza,"pre",MAX(1,A123-DataPartenza)))</f>
        <v/>
      </c>
      <c r="C123" s="10" t="n"/>
      <c r="D123" s="10" t="n"/>
      <c r="E123" s="10" t="n"/>
      <c r="F123" s="11" t="n"/>
      <c r="G123" s="23">
        <f>IF(E123="","",IF(UPPER(F123)="JPY",E123/Tasso_JPY_EUR,E123))</f>
        <v/>
      </c>
      <c r="H123" s="10" t="n"/>
      <c r="I123" s="11" t="n"/>
      <c r="J123" s="11" t="n"/>
      <c r="K123" s="11" t="n"/>
      <c r="L123" s="12">
        <f>COUNTIF(I123:K123,"X")</f>
        <v/>
      </c>
      <c r="M123" s="24">
        <f>IF(OR(G123="",L123=0),0,G123/L123)</f>
        <v/>
      </c>
      <c r="N123" s="10" t="n"/>
    </row>
    <row r="124" ht="20" customHeight="1">
      <c r="A124" s="21" t="n"/>
      <c r="B124" s="22">
        <f>IF(A124="","",IF(A124&lt;DataPartenza,"pre",MAX(1,A124-DataPartenza)))</f>
        <v/>
      </c>
      <c r="C124" s="10" t="n"/>
      <c r="D124" s="10" t="n"/>
      <c r="E124" s="10" t="n"/>
      <c r="F124" s="11" t="n"/>
      <c r="G124" s="23">
        <f>IF(E124="","",IF(UPPER(F124)="JPY",E124/Tasso_JPY_EUR,E124))</f>
        <v/>
      </c>
      <c r="H124" s="10" t="n"/>
      <c r="I124" s="11" t="n"/>
      <c r="J124" s="11" t="n"/>
      <c r="K124" s="11" t="n"/>
      <c r="L124" s="12">
        <f>COUNTIF(I124:K124,"X")</f>
        <v/>
      </c>
      <c r="M124" s="24">
        <f>IF(OR(G124="",L124=0),0,G124/L124)</f>
        <v/>
      </c>
      <c r="N124" s="10" t="n"/>
    </row>
    <row r="125">
      <c r="A125" s="16" t="n"/>
      <c r="B125" s="16" t="n"/>
      <c r="C125" s="16" t="n"/>
      <c r="D125" s="15" t="inlineStr">
        <is>
          <t>TOTALE SPESO (gruppo)</t>
        </is>
      </c>
      <c r="E125" s="16" t="n"/>
      <c r="F125" s="16" t="n"/>
      <c r="G125" s="17">
        <f>SUM(G5:G124)</f>
        <v/>
      </c>
      <c r="H125" s="16" t="n"/>
      <c r="I125" s="16" t="n"/>
      <c r="J125" s="16" t="n"/>
      <c r="K125" s="16" t="n"/>
      <c r="L125" s="16" t="n"/>
      <c r="M125" s="16" t="n"/>
      <c r="N125" s="16" t="n"/>
    </row>
  </sheetData>
  <mergeCells count="2">
    <mergeCell ref="A2:N2"/>
    <mergeCell ref="A1:N1"/>
  </mergeCells>
  <conditionalFormatting sqref="I5:I124">
    <cfRule type="cellIs" priority="1" operator="equal" dxfId="8">
      <formula>"X"</formula>
    </cfRule>
  </conditionalFormatting>
  <conditionalFormatting sqref="J5:J124">
    <cfRule type="cellIs" priority="2" operator="equal" dxfId="8">
      <formula>"X"</formula>
    </cfRule>
  </conditionalFormatting>
  <conditionalFormatting sqref="K5:K124">
    <cfRule type="cellIs" priority="3" operator="equal" dxfId="8">
      <formula>"X"</formula>
    </cfRule>
  </conditionalFormatting>
  <dataValidations count="6">
    <dataValidation sqref="C5:C124" showDropDown="0" showInputMessage="0" showErrorMessage="0" allowBlank="1" type="list">
      <formula1>=ListaCategorie</formula1>
    </dataValidation>
    <dataValidation sqref="F5:F124" showDropDown="0" showInputMessage="0" showErrorMessage="0" allowBlank="1" type="list">
      <formula1>=ListaValute</formula1>
    </dataValidation>
    <dataValidation sqref="H5:H124" showDropDown="0" showInputMessage="0" showErrorMessage="0" allowBlank="1" type="list">
      <formula1>=ListaPersone</formula1>
    </dataValidation>
    <dataValidation sqref="I5:I124" showDropDown="0" showInputMessage="0" showErrorMessage="0" allowBlank="1" type="list">
      <formula1>=ListaPartecipa</formula1>
    </dataValidation>
    <dataValidation sqref="J5:J124" showDropDown="0" showInputMessage="0" showErrorMessage="0" allowBlank="1" type="list">
      <formula1>=ListaPartecipa</formula1>
    </dataValidation>
    <dataValidation sqref="K5:K124" showDropDown="0" showInputMessage="0" showErrorMessage="0" allowBlank="1" type="list">
      <formula1>=ListaPartecipa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36" customWidth="1" min="8" max="8"/>
  </cols>
  <sheetData>
    <row r="1" ht="38" customHeight="1">
      <c r="A1" s="1" t="inlineStr">
        <is>
          <t>BUDGET — Stimato vs Reale</t>
        </is>
      </c>
    </row>
    <row r="2" ht="18" customHeight="1">
      <c r="A2" s="2" t="inlineStr">
        <is>
          <t>Il budget stimato arriva dal CONFIG; lo speso reale è calcolato dal registro SPESE (SUMIF per categoria).</t>
        </is>
      </c>
    </row>
    <row r="4" ht="30" customHeight="1">
      <c r="A4" s="8" t="inlineStr">
        <is>
          <t>Categoria</t>
        </is>
      </c>
      <c r="B4" s="8" t="inlineStr">
        <is>
          <t>Budget gruppo €</t>
        </is>
      </c>
      <c r="C4" s="8" t="inlineStr">
        <is>
          <t>Budget/pax €</t>
        </is>
      </c>
      <c r="D4" s="8" t="inlineStr">
        <is>
          <t>Speso gruppo €</t>
        </is>
      </c>
      <c r="E4" s="8" t="inlineStr">
        <is>
          <t>Speso/pax €</t>
        </is>
      </c>
      <c r="F4" s="8" t="inlineStr">
        <is>
          <t>Delta €</t>
        </is>
      </c>
      <c r="G4" s="8" t="inlineStr">
        <is>
          <t>Utilizzo</t>
        </is>
      </c>
      <c r="H4" s="8" t="inlineStr">
        <is>
          <t>Note</t>
        </is>
      </c>
    </row>
    <row r="5">
      <c r="A5" s="25" t="inlineStr">
        <is>
          <t>Voli</t>
        </is>
      </c>
      <c r="B5" s="26">
        <f>BudgetVoli*N_Persone</f>
        <v/>
      </c>
      <c r="C5" s="26">
        <f>BudgetVoli</f>
        <v/>
      </c>
      <c r="D5" s="26">
        <f>SUMIF(Spese_Categoria,A5,Spese_ImportoTot)</f>
        <v/>
      </c>
      <c r="E5" s="26">
        <f>IF(D5=0,0,D5/N_Persone)</f>
        <v/>
      </c>
      <c r="F5" s="26">
        <f>B5-D5</f>
        <v/>
      </c>
      <c r="G5" s="27">
        <f>IF(B5=0,"",D5/B5)</f>
        <v/>
      </c>
      <c r="H5" s="28" t="inlineStr">
        <is>
          <t>China Eastern open-jaw (reale)</t>
        </is>
      </c>
    </row>
    <row r="6">
      <c r="A6" s="25" t="inlineStr">
        <is>
          <t>Alloggio</t>
        </is>
      </c>
      <c r="B6" s="26">
        <f>BudgetAlloggio*N_Persone</f>
        <v/>
      </c>
      <c r="C6" s="26">
        <f>BudgetAlloggio</f>
        <v/>
      </c>
      <c r="D6" s="26">
        <f>SUMIF(Spese_Categoria,A6,Spese_ImportoTot)</f>
        <v/>
      </c>
      <c r="E6" s="26">
        <f>IF(D6=0,0,D6/N_Persone)</f>
        <v/>
      </c>
      <c r="F6" s="26">
        <f>B6-D6</f>
        <v/>
      </c>
      <c r="G6" s="27">
        <f>IF(B6=0,"",D6/B6)</f>
        <v/>
      </c>
      <c r="H6" s="28" t="inlineStr">
        <is>
          <t>4 strutture · 13 notti (reale)</t>
        </is>
      </c>
    </row>
    <row r="7">
      <c r="A7" s="25" t="inlineStr">
        <is>
          <t>Trasporti</t>
        </is>
      </c>
      <c r="B7" s="26">
        <f>BudgetTrasporti*N_Persone</f>
        <v/>
      </c>
      <c r="C7" s="26">
        <f>BudgetTrasporti</f>
        <v/>
      </c>
      <c r="D7" s="26">
        <f>SUMIF(Spese_Categoria,A7,Spese_ImportoTot)</f>
        <v/>
      </c>
      <c r="E7" s="26">
        <f>IF(D7=0,0,D7/N_Persone)</f>
        <v/>
      </c>
      <c r="F7" s="26">
        <f>B7-D7</f>
        <v/>
      </c>
      <c r="G7" s="27">
        <f>IF(B7=0,"",D7/B7)</f>
        <v/>
      </c>
      <c r="H7" s="28" t="inlineStr">
        <is>
          <t>JR pass + Kyoto→Tokyo + locali</t>
        </is>
      </c>
    </row>
    <row r="8">
      <c r="A8" s="25" t="inlineStr">
        <is>
          <t>Ingressi/Attività</t>
        </is>
      </c>
      <c r="B8" s="26">
        <f>BudgetIngressi*N_Persone</f>
        <v/>
      </c>
      <c r="C8" s="26">
        <f>BudgetIngressi</f>
        <v/>
      </c>
      <c r="D8" s="26">
        <f>SUMIF(Spese_Categoria,A8,Spese_ImportoTot)</f>
        <v/>
      </c>
      <c r="E8" s="26">
        <f>IF(D8=0,0,D8/N_Persone)</f>
        <v/>
      </c>
      <c r="F8" s="26">
        <f>B8-D8</f>
        <v/>
      </c>
      <c r="G8" s="27">
        <f>IF(B8=0,"",D8/B8)</f>
        <v/>
      </c>
      <c r="H8" s="28" t="inlineStr">
        <is>
          <t>USJ, Sanrio, torri, templi…</t>
        </is>
      </c>
    </row>
    <row r="9">
      <c r="A9" s="25" t="inlineStr">
        <is>
          <t>Cibo</t>
        </is>
      </c>
      <c r="B9" s="26">
        <f>BudgetCibo*N_Persone</f>
        <v/>
      </c>
      <c r="C9" s="26">
        <f>BudgetCibo</f>
        <v/>
      </c>
      <c r="D9" s="26">
        <f>SUMIF(Spese_Categoria,A9,Spese_ImportoTot)</f>
        <v/>
      </c>
      <c r="E9" s="26">
        <f>IF(D9=0,0,D9/N_Persone)</f>
        <v/>
      </c>
      <c r="F9" s="26">
        <f>B9-D9</f>
        <v/>
      </c>
      <c r="G9" s="27">
        <f>IF(B9=0,"",D9/B9)</f>
        <v/>
      </c>
      <c r="H9" s="28" t="inlineStr">
        <is>
          <t>Rebecca cucina: possibile risparmio</t>
        </is>
      </c>
    </row>
    <row r="10">
      <c r="A10" s="25" t="inlineStr">
        <is>
          <t>Spese personali</t>
        </is>
      </c>
      <c r="B10" s="26">
        <f>BudgetPersonali*N_Persone</f>
        <v/>
      </c>
      <c r="C10" s="26">
        <f>BudgetPersonali</f>
        <v/>
      </c>
      <c r="D10" s="26">
        <f>SUMIF(Spese_Categoria,A10,Spese_ImportoTot)</f>
        <v/>
      </c>
      <c r="E10" s="26">
        <f>IF(D10=0,0,D10/N_Persone)</f>
        <v/>
      </c>
      <c r="F10" s="26">
        <f>B10-D10</f>
        <v/>
      </c>
      <c r="G10" s="27">
        <f>IF(B10=0,"",D10/B10)</f>
        <v/>
      </c>
      <c r="H10" s="28" t="inlineStr">
        <is>
          <t>Souvenir ed extra</t>
        </is>
      </c>
    </row>
    <row r="11">
      <c r="A11" s="25" t="inlineStr">
        <is>
          <t>Souvenir</t>
        </is>
      </c>
      <c r="B11" s="26">
        <f>BudgetSouvenir*N_Persone</f>
        <v/>
      </c>
      <c r="C11" s="26">
        <f>BudgetSouvenir</f>
        <v/>
      </c>
      <c r="D11" s="26">
        <f>SUMIF(Spese_Categoria,A11,Spese_ImportoTot)</f>
        <v/>
      </c>
      <c r="E11" s="26">
        <f>IF(D11=0,0,D11/N_Persone)</f>
        <v/>
      </c>
      <c r="F11" s="26">
        <f>B11-D11</f>
        <v/>
      </c>
      <c r="G11" s="27">
        <f>IF(B11=0,"",D11/B11)</f>
        <v/>
      </c>
      <c r="H11" s="28" t="inlineStr">
        <is>
          <t>Voce libera</t>
        </is>
      </c>
    </row>
    <row r="12">
      <c r="A12" s="25" t="inlineStr">
        <is>
          <t>Assicurazione</t>
        </is>
      </c>
      <c r="B12" s="26">
        <f>BudgetAssicurazione*N_Persone</f>
        <v/>
      </c>
      <c r="C12" s="26">
        <f>BudgetAssicurazione</f>
        <v/>
      </c>
      <c r="D12" s="26">
        <f>SUMIF(Spese_Categoria,A12,Spese_ImportoTot)</f>
        <v/>
      </c>
      <c r="E12" s="26">
        <f>IF(D12=0,0,D12/N_Persone)</f>
        <v/>
      </c>
      <c r="F12" s="26">
        <f>B12-D12</f>
        <v/>
      </c>
      <c r="G12" s="27">
        <f>IF(B12=0,"",D12/B12)</f>
        <v/>
      </c>
      <c r="H12" s="28" t="inlineStr">
        <is>
          <t>Provider da annotare</t>
        </is>
      </c>
    </row>
    <row r="13">
      <c r="A13" s="25" t="inlineStr">
        <is>
          <t>eSIM</t>
        </is>
      </c>
      <c r="B13" s="26">
        <f>BudgetESIM*N_Persone</f>
        <v/>
      </c>
      <c r="C13" s="26">
        <f>BudgetESIM</f>
        <v/>
      </c>
      <c r="D13" s="26">
        <f>SUMIF(Spese_Categoria,A13,Spese_ImportoTot)</f>
        <v/>
      </c>
      <c r="E13" s="26">
        <f>IF(D13=0,0,D13/N_Persone)</f>
        <v/>
      </c>
      <c r="F13" s="26">
        <f>B13-D13</f>
        <v/>
      </c>
      <c r="G13" s="27">
        <f>IF(B13=0,"",D13/B13)</f>
        <v/>
      </c>
      <c r="H13" s="28" t="inlineStr">
        <is>
          <t>Klook / Airalo</t>
        </is>
      </c>
    </row>
    <row r="14">
      <c r="A14" s="25" t="inlineStr">
        <is>
          <t>Bagagli</t>
        </is>
      </c>
      <c r="B14" s="26">
        <f>BudgetBagagli*N_Persone</f>
        <v/>
      </c>
      <c r="C14" s="26">
        <f>BudgetBagagli</f>
        <v/>
      </c>
      <c r="D14" s="26">
        <f>SUMIF(Spese_Categoria,A14,Spese_ImportoTot)</f>
        <v/>
      </c>
      <c r="E14" s="26">
        <f>IF(D14=0,0,D14/N_Persone)</f>
        <v/>
      </c>
      <c r="F14" s="26">
        <f>B14-D14</f>
        <v/>
      </c>
      <c r="G14" s="27">
        <f>IF(B14=0,"",D14/B14)</f>
        <v/>
      </c>
      <c r="H14" s="28" t="inlineStr">
        <is>
          <t>Takkyubin Osaka→Tokyo</t>
        </is>
      </c>
    </row>
    <row r="15">
      <c r="A15" s="25" t="inlineStr">
        <is>
          <t>Extra</t>
        </is>
      </c>
      <c r="B15" s="26">
        <f>BudgetExtra*N_Persone</f>
        <v/>
      </c>
      <c r="C15" s="26">
        <f>BudgetExtra</f>
        <v/>
      </c>
      <c r="D15" s="26">
        <f>SUMIF(Spese_Categoria,A15,Spese_ImportoTot)</f>
        <v/>
      </c>
      <c r="E15" s="26">
        <f>IF(D15=0,0,D15/N_Persone)</f>
        <v/>
      </c>
      <c r="F15" s="26">
        <f>B15-D15</f>
        <v/>
      </c>
      <c r="G15" s="27">
        <f>IF(B15=0,"",D15/B15)</f>
        <v/>
      </c>
      <c r="H15" s="28" t="inlineStr">
        <is>
          <t>Imprevisti</t>
        </is>
      </c>
    </row>
    <row r="16">
      <c r="A16" s="15" t="inlineStr">
        <is>
          <t>TOTALE</t>
        </is>
      </c>
      <c r="B16" s="17">
        <f>SUM(B5:B15)</f>
        <v/>
      </c>
      <c r="C16" s="17">
        <f>SUM(C5:C15)</f>
        <v/>
      </c>
      <c r="D16" s="17">
        <f>SUM(D5:D15)</f>
        <v/>
      </c>
      <c r="E16" s="17">
        <f>SUM(E5:E15)</f>
        <v/>
      </c>
      <c r="F16" s="17">
        <f>SUM(F5:F15)</f>
        <v/>
      </c>
      <c r="G16" s="29">
        <f>IF(B16=0,"",D16/B16)</f>
        <v/>
      </c>
      <c r="H16" s="16" t="n"/>
    </row>
  </sheetData>
  <mergeCells count="2">
    <mergeCell ref="A2:H2"/>
    <mergeCell ref="A1:H1"/>
  </mergeCells>
  <conditionalFormatting sqref="G5:G15">
    <cfRule type="dataBar" priority="1">
      <dataBar showValue="1">
        <cfvo type="num" val="0"/>
        <cfvo type="num" val="1"/>
        <color rgb="00D94F79"/>
      </dataBar>
    </cfRule>
    <cfRule type="cellIs" priority="2" operator="greaterThan" dxfId="9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A6285A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0" customWidth="1" min="4" max="4"/>
    <col width="10" customWidth="1" min="5" max="5"/>
    <col width="14" customWidth="1" min="6" max="6"/>
    <col width="46" customWidth="1" min="7" max="7"/>
  </cols>
  <sheetData>
    <row r="1" ht="38" customHeight="1">
      <c r="A1" s="1" t="inlineStr">
        <is>
          <t>SCADENZE — Timeline prenotazioni</t>
        </is>
      </c>
    </row>
    <row r="2" ht="18" customHeight="1">
      <c r="A2" s="2" t="inlineStr">
        <is>
          <t>Ordinate per data. 'Giorni' e 'Stato' si calcolano da TODAY(): rosso = urgente/scaduta.</t>
        </is>
      </c>
    </row>
    <row r="4" ht="30" customHeight="1">
      <c r="A4" s="8" t="inlineStr">
        <is>
          <t>Data</t>
        </is>
      </c>
      <c r="B4" s="8" t="inlineStr">
        <is>
          <t>Cosa</t>
        </is>
      </c>
      <c r="C4" s="8" t="inlineStr">
        <is>
          <t>Categoria</t>
        </is>
      </c>
      <c r="D4" s="8" t="inlineStr">
        <is>
          <t>Priorità</t>
        </is>
      </c>
      <c r="E4" s="8" t="inlineStr">
        <is>
          <t>Giorni</t>
        </is>
      </c>
      <c r="F4" s="8" t="inlineStr">
        <is>
          <t>Stato</t>
        </is>
      </c>
      <c r="G4" s="8" t="inlineStr">
        <is>
          <t>Note</t>
        </is>
      </c>
    </row>
    <row r="5" ht="24" customHeight="1">
      <c r="A5" s="9" t="n">
        <v>46293</v>
      </c>
      <c r="B5" s="10" t="inlineStr">
        <is>
          <t>Acquisto JR Kansai-Hiroshima Pass + posti Shinkansen A/R</t>
        </is>
      </c>
      <c r="C5" s="11" t="inlineStr">
        <is>
          <t>Trasporti</t>
        </is>
      </c>
      <c r="D5" s="11" t="inlineStr">
        <is>
          <t>Alta</t>
        </is>
      </c>
      <c r="E5" s="12">
        <f>IF(A5="","",A5-TODAY())</f>
        <v/>
      </c>
      <c r="F5" s="11">
        <f>IF(A5="","",IF(A5-TODAY()&lt;0,"Scaduta",IF(A5-TODAY()&lt;=7,"Urgente",IF(A5-TODAY()&lt;=30,"In arrivo","Programmata"))))</f>
        <v/>
      </c>
      <c r="G5" s="10" t="inlineStr">
        <is>
          <t>28 set 10:00 JST · JR-WEST ONLINE · in Italia ~03:00</t>
        </is>
      </c>
    </row>
    <row r="6" ht="24" customHeight="1">
      <c r="A6" s="9" t="n">
        <v>46296</v>
      </c>
      <c r="B6" s="10" t="inlineStr">
        <is>
          <t>Prenotazione Kyoto→Tokyo Hikari (SmartEX)</t>
        </is>
      </c>
      <c r="C6" s="11" t="inlineStr">
        <is>
          <t>Trasporti</t>
        </is>
      </c>
      <c r="D6" s="11" t="inlineStr">
        <is>
          <t>Alta</t>
        </is>
      </c>
      <c r="E6" s="12">
        <f>IF(A6="","",A6-TODAY())</f>
        <v/>
      </c>
      <c r="F6" s="11">
        <f>IF(A6="","",IF(A6-TODAY()&lt;0,"Scaduta",IF(A6-TODAY()&lt;=7,"Urgente",IF(A6-TODAY()&lt;=30,"In arrivo","Programmata"))))</f>
        <v/>
      </c>
      <c r="G6" s="10" t="inlineStr">
        <is>
          <t>1 ott 10:00 JST · posto riservato ~¥13.650</t>
        </is>
      </c>
    </row>
    <row r="7" ht="24" customHeight="1">
      <c r="A7" s="9" t="n">
        <v>46297</v>
      </c>
      <c r="B7" s="10" t="inlineStr">
        <is>
          <t>Prenotazione Tokyo Skytree (1 nov)</t>
        </is>
      </c>
      <c r="C7" s="11" t="inlineStr">
        <is>
          <t>Attività</t>
        </is>
      </c>
      <c r="D7" s="11" t="inlineStr">
        <is>
          <t>Media</t>
        </is>
      </c>
      <c r="E7" s="12">
        <f>IF(A7="","",A7-TODAY())</f>
        <v/>
      </c>
      <c r="F7" s="11">
        <f>IF(A7="","",IF(A7-TODAY()&lt;0,"Scaduta",IF(A7-TODAY()&lt;=7,"Urgente",IF(A7-TODAY()&lt;=30,"In arrivo","Programmata"))))</f>
        <v/>
      </c>
      <c r="G7" s="10" t="inlineStr">
        <is>
          <t>~30 gg prima, 00:00 JST</t>
        </is>
      </c>
    </row>
    <row r="8" ht="24" customHeight="1">
      <c r="A8" s="9" t="n">
        <v>46306</v>
      </c>
      <c r="B8" s="10" t="inlineStr">
        <is>
          <t>Scadenza sconto Hayatoku 21 (Kyoto→Tokyo)</t>
        </is>
      </c>
      <c r="C8" s="11" t="inlineStr">
        <is>
          <t>Trasporti</t>
        </is>
      </c>
      <c r="D8" s="11" t="inlineStr">
        <is>
          <t>Media</t>
        </is>
      </c>
      <c r="E8" s="12">
        <f>IF(A8="","",A8-TODAY())</f>
        <v/>
      </c>
      <c r="F8" s="11">
        <f>IF(A8="","",IF(A8-TODAY()&lt;0,"Scaduta",IF(A8-TODAY()&lt;=7,"Urgente",IF(A8-TODAY()&lt;=30,"In arrivo","Programmata"))))</f>
        <v/>
      </c>
      <c r="G8" s="10" t="inlineStr">
        <is>
          <t>Entro l'11 ott per lo sconto</t>
        </is>
      </c>
    </row>
    <row r="9" ht="24" customHeight="1">
      <c r="A9" s="9" t="n">
        <v>46309</v>
      </c>
      <c r="B9" s="10" t="inlineStr">
        <is>
          <t>Comprare eSIM Giappone</t>
        </is>
      </c>
      <c r="C9" s="11" t="inlineStr">
        <is>
          <t>eSIM</t>
        </is>
      </c>
      <c r="D9" s="11" t="inlineStr">
        <is>
          <t>Alta</t>
        </is>
      </c>
      <c r="E9" s="12">
        <f>IF(A9="","",A9-TODAY())</f>
        <v/>
      </c>
      <c r="F9" s="11">
        <f>IF(A9="","",IF(A9-TODAY()&lt;0,"Scaduta",IF(A9-TODAY()&lt;=7,"Urgente",IF(A9-TODAY()&lt;=30,"In arrivo","Programmata"))))</f>
        <v/>
      </c>
      <c r="G9" s="10" t="inlineStr">
        <is>
          <t>~2 settimane prima (Klook/Airalo)</t>
        </is>
      </c>
    </row>
    <row r="10" ht="24" customHeight="1">
      <c r="A10" s="9" t="n">
        <v>46316</v>
      </c>
      <c r="B10" s="10" t="inlineStr">
        <is>
          <t>Prenotazione Shibuya Sky (4 nov, tramonto) ⭐Rebecca</t>
        </is>
      </c>
      <c r="C10" s="11" t="inlineStr">
        <is>
          <t>Attività</t>
        </is>
      </c>
      <c r="D10" s="11" t="inlineStr">
        <is>
          <t>Alta</t>
        </is>
      </c>
      <c r="E10" s="12">
        <f>IF(A10="","",A10-TODAY())</f>
        <v/>
      </c>
      <c r="F10" s="11">
        <f>IF(A10="","",IF(A10-TODAY()&lt;0,"Scaduta",IF(A10-TODAY()&lt;=7,"Urgente",IF(A10-TODAY()&lt;=30,"In arrivo","Programmata"))))</f>
        <v/>
      </c>
      <c r="G10" s="10" t="inlineStr">
        <is>
          <t>21 ott 00:00 JST · finestra 14 gg · ¥3.400</t>
        </is>
      </c>
    </row>
    <row r="11" ht="24" customHeight="1">
      <c r="A11" s="9" t="n">
        <v>46318</v>
      </c>
      <c r="B11" s="10" t="inlineStr">
        <is>
          <t>PARTENZA — Volo MU788 FCO→PVG 21:10</t>
        </is>
      </c>
      <c r="C11" s="11" t="inlineStr">
        <is>
          <t>Viaggio</t>
        </is>
      </c>
      <c r="D11" s="11" t="inlineStr">
        <is>
          <t>Alta</t>
        </is>
      </c>
      <c r="E11" s="12">
        <f>IF(A11="","",A11-TODAY())</f>
        <v/>
      </c>
      <c r="F11" s="11">
        <f>IF(A11="","",IF(A11-TODAY()&lt;0,"Scaduta",IF(A11-TODAY()&lt;=7,"Urgente",IF(A11-TODAY()&lt;=30,"In arrivo","Programmata"))))</f>
        <v/>
      </c>
      <c r="G11" s="10" t="inlineStr">
        <is>
          <t>Check-in FCO ~18:10</t>
        </is>
      </c>
    </row>
    <row r="12" ht="24" customHeight="1">
      <c r="A12" s="9" t="n">
        <v>46322</v>
      </c>
      <c r="B12" s="10" t="inlineStr">
        <is>
          <t>Verifica maree Miyajima</t>
        </is>
      </c>
      <c r="C12" s="11" t="inlineStr">
        <is>
          <t>Info</t>
        </is>
      </c>
      <c r="D12" s="11" t="inlineStr">
        <is>
          <t>Media</t>
        </is>
      </c>
      <c r="E12" s="12">
        <f>IF(A12="","",A12-TODAY())</f>
        <v/>
      </c>
      <c r="F12" s="11">
        <f>IF(A12="","",IF(A12-TODAY()&lt;0,"Scaduta",IF(A12-TODAY()&lt;=7,"Urgente",IF(A12-TODAY()&lt;=30,"In arrivo","Programmata"))))</f>
        <v/>
      </c>
      <c r="G12" s="10" t="inlineStr">
        <is>
          <t>Giorno prima di Hiroshima · tassa 100 ¥</t>
        </is>
      </c>
    </row>
    <row r="13" ht="24" customHeight="1">
      <c r="A13" s="9" t="n">
        <v>46323</v>
      </c>
      <c r="B13" s="10" t="inlineStr">
        <is>
          <t>Attivazione JR Pass + Hiroshima/Miyajima</t>
        </is>
      </c>
      <c r="C13" s="11" t="inlineStr">
        <is>
          <t>Viaggio</t>
        </is>
      </c>
      <c r="D13" s="11" t="inlineStr">
        <is>
          <t>Alta</t>
        </is>
      </c>
      <c r="E13" s="12">
        <f>IF(A13="","",A13-TODAY())</f>
        <v/>
      </c>
      <c r="F13" s="11">
        <f>IF(A13="","",IF(A13-TODAY()&lt;0,"Scaduta",IF(A13-TODAY()&lt;=7,"Urgente",IF(A13-TODAY()&lt;=30,"In arrivo","Programmata"))))</f>
        <v/>
      </c>
      <c r="G13" s="10" t="inlineStr">
        <is>
          <t>Sveglia 05:15 · ritirare pass</t>
        </is>
      </c>
    </row>
    <row r="14" ht="24" customHeight="1">
      <c r="A14" s="9" t="n">
        <v>46324</v>
      </c>
      <c r="B14" s="10" t="inlineStr">
        <is>
          <t>Takkyubin valigie Osaka→Tokyo (consegna 1 nov)</t>
        </is>
      </c>
      <c r="C14" s="11" t="inlineStr">
        <is>
          <t>Bagagli</t>
        </is>
      </c>
      <c r="D14" s="11" t="inlineStr">
        <is>
          <t>Alta</t>
        </is>
      </c>
      <c r="E14" s="12">
        <f>IF(A14="","",A14-TODAY())</f>
        <v/>
      </c>
      <c r="F14" s="11">
        <f>IF(A14="","",IF(A14-TODAY()&lt;0,"Scaduta",IF(A14-TODAY()&lt;=7,"Urgente",IF(A14-TODAY()&lt;=30,"In arrivo","Programmata"))))</f>
        <v/>
      </c>
      <c r="G14" s="10" t="inlineStr">
        <is>
          <t>Yamato Namba Station Center 9:00–20:00</t>
        </is>
      </c>
    </row>
    <row r="15" ht="24" customHeight="1">
      <c r="A15" s="9" t="n">
        <v>46327</v>
      </c>
      <c r="B15" s="10" t="inlineStr">
        <is>
          <t>Consegna bagagli a Tokyo + Kyoto→Tokyo</t>
        </is>
      </c>
      <c r="C15" s="11" t="inlineStr">
        <is>
          <t>Viaggio</t>
        </is>
      </c>
      <c r="D15" s="11" t="inlineStr">
        <is>
          <t>Alta</t>
        </is>
      </c>
      <c r="E15" s="12">
        <f>IF(A15="","",A15-TODAY())</f>
        <v/>
      </c>
      <c r="F15" s="11">
        <f>IF(A15="","",IF(A15-TODAY()&lt;0,"Scaduta",IF(A15-TODAY()&lt;=7,"Urgente",IF(A15-TODAY()&lt;=30,"In arrivo","Programmata"))))</f>
        <v/>
      </c>
      <c r="G15" s="10" t="inlineStr">
        <is>
          <t>Arrivo Tokyo · Skytree</t>
        </is>
      </c>
    </row>
    <row r="16" ht="24" customHeight="1">
      <c r="A16" s="9" t="n">
        <v>46329</v>
      </c>
      <c r="B16" s="10" t="inlineStr">
        <is>
          <t>Sanrio Puroland</t>
        </is>
      </c>
      <c r="C16" s="11" t="inlineStr">
        <is>
          <t>Attività</t>
        </is>
      </c>
      <c r="D16" s="11" t="inlineStr">
        <is>
          <t>Media</t>
        </is>
      </c>
      <c r="E16" s="12">
        <f>IF(A16="","",A16-TODAY())</f>
        <v/>
      </c>
      <c r="F16" s="11">
        <f>IF(A16="","",IF(A16-TODAY()&lt;0,"Scaduta",IF(A16-TODAY()&lt;=7,"Urgente",IF(A16-TODAY()&lt;=30,"In arrivo","Programmata"))))</f>
        <v/>
      </c>
      <c r="G16" s="10" t="inlineStr">
        <is>
          <t>Bunka no Hi · arrivare presto</t>
        </is>
      </c>
    </row>
    <row r="17" ht="24" customHeight="1">
      <c r="A17" s="9" t="n">
        <v>46330</v>
      </c>
      <c r="B17" s="10" t="inlineStr">
        <is>
          <t>Shibuya Sky (slot tramonto)</t>
        </is>
      </c>
      <c r="C17" s="11" t="inlineStr">
        <is>
          <t>Attività</t>
        </is>
      </c>
      <c r="D17" s="11" t="inlineStr">
        <is>
          <t>Media</t>
        </is>
      </c>
      <c r="E17" s="12">
        <f>IF(A17="","",A17-TODAY())</f>
        <v/>
      </c>
      <c r="F17" s="11">
        <f>IF(A17="","",IF(A17-TODAY()&lt;0,"Scaduta",IF(A17-TODAY()&lt;=7,"Urgente",IF(A17-TODAY()&lt;=30,"In arrivo","Programmata"))))</f>
        <v/>
      </c>
      <c r="G17" s="10" t="inlineStr">
        <is>
          <t>Prenotato il 21/10</t>
        </is>
      </c>
    </row>
    <row r="18" ht="24" customHeight="1">
      <c r="A18" s="9" t="n">
        <v>46331</v>
      </c>
      <c r="B18" s="10" t="inlineStr">
        <is>
          <t>Anniversario Davide &amp; Rebecca</t>
        </is>
      </c>
      <c r="C18" s="11" t="inlineStr">
        <is>
          <t>Speciale</t>
        </is>
      </c>
      <c r="D18" s="11" t="inlineStr">
        <is>
          <t>Bassa</t>
        </is>
      </c>
      <c r="E18" s="12">
        <f>IF(A18="","",A18-TODAY())</f>
        <v/>
      </c>
      <c r="F18" s="11">
        <f>IF(A18="","",IF(A18-TODAY()&lt;0,"Scaduta",IF(A18-TODAY()&lt;=7,"Urgente",IF(A18-TODAY()&lt;=30,"In arrivo","Programmata"))))</f>
        <v/>
      </c>
      <c r="G18" s="10" t="inlineStr">
        <is>
          <t>Programma a cura loro</t>
        </is>
      </c>
    </row>
    <row r="19" ht="24" customHeight="1">
      <c r="A19" s="9" t="n">
        <v>46332</v>
      </c>
      <c r="B19" s="10" t="inlineStr">
        <is>
          <t>RITORNO — Volo MU576 HND→PVG 08:40</t>
        </is>
      </c>
      <c r="C19" s="11" t="inlineStr">
        <is>
          <t>Viaggio</t>
        </is>
      </c>
      <c r="D19" s="11" t="inlineStr">
        <is>
          <t>Alta</t>
        </is>
      </c>
      <c r="E19" s="12">
        <f>IF(A19="","",A19-TODAY())</f>
        <v/>
      </c>
      <c r="F19" s="11">
        <f>IF(A19="","",IF(A19-TODAY()&lt;0,"Scaduta",IF(A19-TODAY()&lt;=7,"Urgente",IF(A19-TODAY()&lt;=30,"In arrivo","Programmata"))))</f>
        <v/>
      </c>
      <c r="G19" s="10" t="inlineStr">
        <is>
          <t>Sveglia 04:30 · arrivo FCO 18:15</t>
        </is>
      </c>
    </row>
  </sheetData>
  <mergeCells count="2">
    <mergeCell ref="A2:G2"/>
    <mergeCell ref="A1:G1"/>
  </mergeCells>
  <conditionalFormatting sqref="F5:F19">
    <cfRule type="cellIs" priority="1" operator="equal" dxfId="6">
      <formula>"Scaduta"</formula>
    </cfRule>
    <cfRule type="cellIs" priority="2" operator="equal" dxfId="10">
      <formula>"Urgente"</formula>
    </cfRule>
    <cfRule type="cellIs" priority="3" operator="equal" dxfId="11">
      <formula>"In arrivo"</formula>
    </cfRule>
    <cfRule type="cellIs" priority="4" operator="equal" dxfId="12">
      <formula>"Programmata"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A05B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34" customWidth="1" min="6" max="6"/>
  </cols>
  <sheetData>
    <row r="1" ht="38" customHeight="1">
      <c r="A1" s="1" t="inlineStr">
        <is>
          <t>SALDI — Chi ha anticipato e chi deve dare</t>
        </is>
      </c>
    </row>
    <row r="2" ht="18" customHeight="1">
      <c r="A2" s="2" t="inlineStr">
        <is>
          <t>Anticipato = spese pagate dalla persona. Quota = spese in cui è spuntata con 'X'. Saldo = Anticipato - Quota.</t>
        </is>
      </c>
    </row>
    <row r="4" ht="30" customHeight="1">
      <c r="A4" s="8" t="inlineStr">
        <is>
          <t>Persona</t>
        </is>
      </c>
      <c r="B4" s="8" t="inlineStr">
        <is>
          <t>Anticipato €</t>
        </is>
      </c>
      <c r="C4" s="8" t="inlineStr">
        <is>
          <t>Quota dovuta €</t>
        </is>
      </c>
      <c r="D4" s="8" t="inlineStr">
        <is>
          <t>Saldo €</t>
        </is>
      </c>
      <c r="E4" s="8" t="inlineStr">
        <is>
          <t>Stato</t>
        </is>
      </c>
      <c r="F4" s="8" t="inlineStr">
        <is>
          <t>Note</t>
        </is>
      </c>
    </row>
    <row r="5" ht="22" customHeight="1">
      <c r="A5" s="25">
        <f>CONFIG!$B$15</f>
        <v/>
      </c>
      <c r="B5" s="26">
        <f>SUMIF(Spese_PagatoDa,A5,Spese_ImportoTot)</f>
        <v/>
      </c>
      <c r="C5" s="26">
        <f>SUMIFS(Spese_QuotaPax,Spese_P1,"X",Spese_PagatoDa,"&lt;&gt;")</f>
        <v/>
      </c>
      <c r="D5" s="26">
        <f>B5-C5</f>
        <v/>
      </c>
      <c r="E5" s="30">
        <f>IF(AND(B5=0,C5=0),"",IF(D5&gt;0.01,"Da ricevere",IF(D5&lt;-0.01,"Da pagare","In pari")))</f>
        <v/>
      </c>
      <c r="F5" s="28" t="inlineStr">
        <is>
          <t>Chi ha speso di più riceve dagli altri</t>
        </is>
      </c>
    </row>
    <row r="6" ht="22" customHeight="1">
      <c r="A6" s="25">
        <f>CONFIG!$B$16</f>
        <v/>
      </c>
      <c r="B6" s="26">
        <f>SUMIF(Spese_PagatoDa,A6,Spese_ImportoTot)</f>
        <v/>
      </c>
      <c r="C6" s="26">
        <f>SUMIFS(Spese_QuotaPax,Spese_P2,"X",Spese_PagatoDa,"&lt;&gt;")</f>
        <v/>
      </c>
      <c r="D6" s="26">
        <f>B6-C6</f>
        <v/>
      </c>
      <c r="E6" s="30">
        <f>IF(AND(B6=0,C6=0),"",IF(D6&gt;0.01,"Da ricevere",IF(D6&lt;-0.01,"Da pagare","In pari")))</f>
        <v/>
      </c>
      <c r="F6" s="28" t="inlineStr">
        <is>
          <t>Spunta le persone in SPESE (colonne 'X')</t>
        </is>
      </c>
    </row>
    <row r="7" ht="22" customHeight="1">
      <c r="A7" s="25">
        <f>CONFIG!$B$17</f>
        <v/>
      </c>
      <c r="B7" s="26">
        <f>SUMIF(Spese_PagatoDa,A7,Spese_ImportoTot)</f>
        <v/>
      </c>
      <c r="C7" s="26">
        <f>SUMIFS(Spese_QuotaPax,Spese_P3,"X",Spese_PagatoDa,"&lt;&gt;")</f>
        <v/>
      </c>
      <c r="D7" s="26">
        <f>B7-C7</f>
        <v/>
      </c>
      <c r="E7" s="30">
        <f>IF(AND(B7=0,C7=0),"",IF(D7&gt;0.01,"Da ricevere",IF(D7&lt;-0.01,"Da pagare","In pari")))</f>
        <v/>
      </c>
      <c r="F7" s="28" t="inlineStr">
        <is>
          <t>Compila 'Pagato da' per calcolare i saldi</t>
        </is>
      </c>
    </row>
    <row r="8">
      <c r="A8" s="15" t="inlineStr">
        <is>
          <t>TOTALE</t>
        </is>
      </c>
      <c r="B8" s="17">
        <f>SUM(B5:B7)</f>
        <v/>
      </c>
      <c r="C8" s="17">
        <f>SUM(C5:C7)</f>
        <v/>
      </c>
      <c r="D8" s="17">
        <f>SUM(D5:D7)</f>
        <v/>
      </c>
      <c r="E8" s="16" t="n"/>
      <c r="F8" s="16" t="n"/>
    </row>
    <row r="9">
      <c r="A9" s="31" t="inlineStr">
        <is>
          <t>Senza 'Pagato da'</t>
        </is>
      </c>
      <c r="B9" s="32">
        <f>SUMIF(Spese_PagatoDa,"",Spese_ImportoTot)</f>
        <v/>
      </c>
      <c r="C9" s="33">
        <f>IF(B9&gt;0,"⚠ assegna chi ha pagato per calcolare i saldi","tutto assegnato")</f>
        <v/>
      </c>
    </row>
    <row r="10">
      <c r="A10" s="34" t="inlineStr">
        <is>
          <t>Stile Tricount: in SPESE scegli chi ha pagato e spunta con 'X' chi divide la spesa (una, due o tutte le persone). La quota/persona è sempre importo totale ÷ partecipanti. I saldi contano solo le spese con 'Pagato da' compilato: saldo positivo = deve RICEVERE, saldo negativo = deve PAGARE.</t>
        </is>
      </c>
    </row>
    <row r="11"/>
  </sheetData>
  <mergeCells count="4">
    <mergeCell ref="A2:F2"/>
    <mergeCell ref="C9:F9"/>
    <mergeCell ref="A1:F1"/>
    <mergeCell ref="A10:F11"/>
  </mergeCells>
  <conditionalFormatting sqref="E5:E7">
    <cfRule type="cellIs" priority="1" operator="equal" dxfId="1">
      <formula>"Da ricevere"</formula>
    </cfRule>
    <cfRule type="cellIs" priority="2" operator="equal" dxfId="13">
      <formula>"Da pagare"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C6A8B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20" customWidth="1" min="4" max="4"/>
    <col width="34" customWidth="1" min="5" max="5"/>
    <col width="18" customWidth="1" min="6" max="6"/>
  </cols>
  <sheetData>
    <row r="1" ht="38" customHeight="1">
      <c r="A1" s="1" t="inlineStr">
        <is>
          <t>LOGISTICA — Info rapide</t>
        </is>
      </c>
    </row>
    <row r="2" ht="18" customHeight="1">
      <c r="A2" s="2" t="inlineStr">
        <is>
          <t>Voli, alloggi, trasporti, emergenze, allergie Rebecca. Riferimenti utili sul campo.</t>
        </is>
      </c>
    </row>
    <row r="4" ht="22" customHeight="1">
      <c r="A4" s="7" t="inlineStr">
        <is>
          <t xml:space="preserve">  VOLI — China Eastern (prenotati 09/08/26)</t>
        </is>
      </c>
    </row>
    <row r="5" ht="30" customHeight="1">
      <c r="A5" s="8" t="inlineStr">
        <is>
          <t>Tratta</t>
        </is>
      </c>
      <c r="B5" s="8" t="inlineStr">
        <is>
          <t>Percorso</t>
        </is>
      </c>
      <c r="C5" s="8" t="inlineStr">
        <is>
          <t>Orari</t>
        </is>
      </c>
      <c r="D5" s="8" t="inlineStr">
        <is>
          <t>Voli</t>
        </is>
      </c>
      <c r="E5" s="8" t="inlineStr">
        <is>
          <t>Durata</t>
        </is>
      </c>
    </row>
    <row r="6">
      <c r="A6" s="10" t="inlineStr">
        <is>
          <t>Andata</t>
        </is>
      </c>
      <c r="B6" s="10" t="inlineStr">
        <is>
          <t>FCO→KIX</t>
        </is>
      </c>
      <c r="C6" s="10" t="inlineStr">
        <is>
          <t>23 ott 21:10 → 24 ott 21:00</t>
        </is>
      </c>
      <c r="D6" s="10" t="inlineStr">
        <is>
          <t>MU788 + FM3051 (via Shanghai PVG)</t>
        </is>
      </c>
      <c r="E6" s="10" t="inlineStr">
        <is>
          <t>16h50</t>
        </is>
      </c>
    </row>
    <row r="7">
      <c r="A7" s="10" t="inlineStr">
        <is>
          <t>Ritorno</t>
        </is>
      </c>
      <c r="B7" s="10" t="inlineStr">
        <is>
          <t>HND→FCO</t>
        </is>
      </c>
      <c r="C7" s="10" t="inlineStr">
        <is>
          <t>6 nov 08:40 → 18:15</t>
        </is>
      </c>
      <c r="D7" s="10" t="inlineStr">
        <is>
          <t>MU576 + MU787 (via Shanghai PVG)</t>
        </is>
      </c>
      <c r="E7" s="10" t="inlineStr">
        <is>
          <t>17h35</t>
        </is>
      </c>
    </row>
    <row r="9" ht="22" customHeight="1">
      <c r="A9" s="7" t="inlineStr">
        <is>
          <t xml:space="preserve">  ALLOGGI — tutti prenotati (cucina per Rebecca)</t>
        </is>
      </c>
    </row>
    <row r="10" ht="30" customHeight="1">
      <c r="A10" s="8" t="inlineStr">
        <is>
          <t>Città</t>
        </is>
      </c>
      <c r="B10" s="8" t="inlineStr">
        <is>
          <t>Struttura</t>
        </is>
      </c>
      <c r="C10" s="8" t="inlineStr">
        <is>
          <t>Date</t>
        </is>
      </c>
      <c r="D10" s="8" t="inlineStr">
        <is>
          <t>Notti</t>
        </is>
      </c>
      <c r="E10" s="8" t="inlineStr">
        <is>
          <t>Indirizzo</t>
        </is>
      </c>
    </row>
    <row r="11">
      <c r="A11" s="10" t="inlineStr">
        <is>
          <t>Izumisano (KIX)</t>
        </is>
      </c>
      <c r="B11" s="10" t="inlineStr">
        <is>
          <t>KURA Hotel Izumisano</t>
        </is>
      </c>
      <c r="C11" s="10" t="inlineStr">
        <is>
          <t>24–25 ott</t>
        </is>
      </c>
      <c r="D11" s="10" t="inlineStr">
        <is>
          <t>1</t>
        </is>
      </c>
      <c r="E11" s="10" t="inlineStr">
        <is>
          <t>Uemachi 3-10-11, Izumisano</t>
        </is>
      </c>
      <c r="F11" s="28" t="inlineStr">
        <is>
          <t>16:00 / 10:00 · Kitchenette + microonde</t>
        </is>
      </c>
    </row>
    <row r="12">
      <c r="A12" s="10" t="inlineStr">
        <is>
          <t>Osaka</t>
        </is>
      </c>
      <c r="B12" s="10" t="inlineStr">
        <is>
          <t>Hanazonocho Apartment 103</t>
        </is>
      </c>
      <c r="C12" s="10" t="inlineStr">
        <is>
          <t>25–29 ott</t>
        </is>
      </c>
      <c r="D12" s="10" t="inlineStr">
        <is>
          <t>4</t>
        </is>
      </c>
      <c r="E12" s="10" t="inlineStr">
        <is>
          <t>1-2-35 Bainan, Nishinari Ward</t>
        </is>
      </c>
      <c r="F12" s="28" t="inlineStr">
        <is>
          <t>16:00 / 10:00 · Angolo cottura</t>
        </is>
      </c>
    </row>
    <row r="13">
      <c r="A13" s="10" t="inlineStr">
        <is>
          <t>Kyoto</t>
        </is>
      </c>
      <c r="B13" s="10" t="inlineStr">
        <is>
          <t>Miro Kyoto Nijo Hotel</t>
        </is>
      </c>
      <c r="C13" s="10" t="inlineStr">
        <is>
          <t>29 ott–1 nov</t>
        </is>
      </c>
      <c r="D13" s="10" t="inlineStr">
        <is>
          <t>3</t>
        </is>
      </c>
      <c r="E13" s="10" t="inlineStr">
        <is>
          <t>20-1 Nishinokyokangakuincho, Nakagyo</t>
        </is>
      </c>
      <c r="F13" s="28" t="inlineStr">
        <is>
          <t>16:00 / 10:00 · Cucina attrezzata</t>
        </is>
      </c>
    </row>
    <row r="14">
      <c r="A14" s="10" t="inlineStr">
        <is>
          <t>Tokyo</t>
        </is>
      </c>
      <c r="B14" s="10" t="inlineStr">
        <is>
          <t>Taito City Guesthouse</t>
        </is>
      </c>
      <c r="C14" s="10" t="inlineStr">
        <is>
          <t>1–6 nov</t>
        </is>
      </c>
      <c r="D14" s="10" t="inlineStr">
        <is>
          <t>5</t>
        </is>
      </c>
      <c r="E14" s="10" t="inlineStr">
        <is>
          <t>4-27-6 Senzoku, Taito City</t>
        </is>
      </c>
      <c r="F14" s="28" t="inlineStr">
        <is>
          <t>15:00 / 10:00 · Cucina condivisa (1° piano)</t>
        </is>
      </c>
    </row>
    <row r="17" ht="22" customHeight="1">
      <c r="A17" s="7" t="inlineStr">
        <is>
          <t xml:space="preserve">  TRASPORTI — Pass &amp; biglietti</t>
        </is>
      </c>
    </row>
    <row r="18" ht="30" customHeight="1">
      <c r="A18" s="8" t="inlineStr">
        <is>
          <t>Voce</t>
        </is>
      </c>
      <c r="B18" s="8" t="inlineStr">
        <is>
          <t>Copertura</t>
        </is>
      </c>
      <c r="C18" s="8" t="inlineStr">
        <is>
          <t>Costo</t>
        </is>
      </c>
      <c r="D18" s="8" t="inlineStr">
        <is>
          <t>Quando</t>
        </is>
      </c>
      <c r="E18" s="8" t="inlineStr">
        <is>
          <t>Note</t>
        </is>
      </c>
    </row>
    <row r="19">
      <c r="A19" s="10" t="inlineStr">
        <is>
          <t>JR Kansai-Hiroshima Area Pass (5gg)</t>
        </is>
      </c>
      <c r="B19" s="10" t="inlineStr">
        <is>
          <t>Shinkansen Shin-Osaka⇔Hiroshima A/R, traghetto JR Miyajima, linee JR West</t>
        </is>
      </c>
      <c r="C19" s="10" t="inlineStr">
        <is>
          <t>17.000 ¥ (~92 €)</t>
        </is>
      </c>
      <c r="D19" s="10" t="inlineStr">
        <is>
          <t>Attivo 28 ott – 1 nov</t>
        </is>
      </c>
      <c r="E19" s="10" t="inlineStr">
        <is>
          <t>Acquistare su JR-WEST ONLINE (posti online dal 28/09)</t>
        </is>
      </c>
    </row>
    <row r="20">
      <c r="A20" s="10" t="inlineStr">
        <is>
          <t>Kyoto→Tokyo Shinkansen Hikari</t>
        </is>
      </c>
      <c r="B20" s="10" t="inlineStr">
        <is>
          <t>Posto riservato, ~2h40</t>
        </is>
      </c>
      <c r="C20" s="10" t="inlineStr">
        <is>
          <t>~13.650 ¥ (~74 €)</t>
        </is>
      </c>
      <c r="D20" s="10" t="inlineStr">
        <is>
          <t>1 nov</t>
        </is>
      </c>
      <c r="E20" s="10" t="inlineStr">
        <is>
          <t>SmartEX · Hayatoku 21 entro 11/10</t>
        </is>
      </c>
    </row>
    <row r="21">
      <c r="A21" s="10" t="inlineStr">
        <is>
          <t>Suica / Icoca</t>
        </is>
      </c>
      <c r="B21" s="10" t="inlineStr">
        <is>
          <t>Metro, bus, treni locali, konbini</t>
        </is>
      </c>
      <c r="C21" s="10" t="inlineStr">
        <is>
          <t>Ricarica</t>
        </is>
      </c>
      <c r="D21" s="10" t="inlineStr">
        <is>
          <t>Tutto il viaggio</t>
        </is>
      </c>
      <c r="E21" s="10" t="inlineStr">
        <is>
          <t>Suica digitale su iPhone o Icoca a KIX</t>
        </is>
      </c>
    </row>
    <row r="22">
      <c r="A22" s="10" t="inlineStr">
        <is>
          <t>Osaka→Nara (Kintetsu)</t>
        </is>
      </c>
      <c r="B22" s="10" t="inlineStr">
        <is>
          <t>Non coperto dal JR Pass</t>
        </is>
      </c>
      <c r="C22" s="10" t="inlineStr">
        <is>
          <t>~570 ¥</t>
        </is>
      </c>
      <c r="D22" s="10" t="inlineStr">
        <is>
          <t>29 ott</t>
        </is>
      </c>
      <c r="E22" s="10" t="inlineStr">
        <is>
          <t>IC card</t>
        </is>
      </c>
    </row>
    <row r="23">
      <c r="A23" s="10" t="inlineStr">
        <is>
          <t>Nara→Kyoto (JR Nara Line)</t>
        </is>
      </c>
      <c r="B23" s="10" t="inlineStr">
        <is>
          <t>Incluso nel pass</t>
        </is>
      </c>
      <c r="C23" s="10" t="inlineStr">
        <is>
          <t>—</t>
        </is>
      </c>
      <c r="D23" s="10" t="inlineStr">
        <is>
          <t>29 ott</t>
        </is>
      </c>
      <c r="E23" s="10" t="inlineStr">
        <is>
          <t>—</t>
        </is>
      </c>
    </row>
    <row r="25" ht="22" customHeight="1">
      <c r="A25" s="7" t="inlineStr">
        <is>
          <t xml:space="preserve">  EMERGENZE &amp; ASSISTENZA</t>
        </is>
      </c>
    </row>
    <row r="26" ht="30" customHeight="1">
      <c r="A26" s="8" t="inlineStr">
        <is>
          <t>Numero</t>
        </is>
      </c>
      <c r="B26" s="8" t="inlineStr">
        <is>
          <t>Servizio</t>
        </is>
      </c>
      <c r="C26" s="8" t="inlineStr">
        <is>
          <t>Note</t>
        </is>
      </c>
    </row>
    <row r="27">
      <c r="A27" s="10" t="inlineStr">
        <is>
          <t>110</t>
        </is>
      </c>
      <c r="B27" s="10" t="inlineStr">
        <is>
          <t>Polizia</t>
        </is>
      </c>
      <c r="C27" s="10" t="inlineStr">
        <is>
          <t>Gratuito da qualsiasi telefono</t>
        </is>
      </c>
    </row>
    <row r="28">
      <c r="A28" s="10" t="inlineStr">
        <is>
          <t>119</t>
        </is>
      </c>
      <c r="B28" s="10" t="inlineStr">
        <is>
          <t>Ambulanza / Vigili del Fuoco</t>
        </is>
      </c>
      <c r="C28" s="10" t="inlineStr">
        <is>
          <t>Gratuito da qualsiasi telefono</t>
        </is>
      </c>
    </row>
    <row r="29">
      <c r="A29" s="10" t="inlineStr">
        <is>
          <t>118</t>
        </is>
      </c>
      <c r="B29" s="10" t="inlineStr">
        <is>
          <t>Guardia Costiera</t>
        </is>
      </c>
      <c r="C29" s="10" t="inlineStr">
        <is>
          <t>Emergenze in mare</t>
        </is>
      </c>
    </row>
    <row r="30">
      <c r="A30" s="10" t="inlineStr">
        <is>
          <t>#7119</t>
        </is>
      </c>
      <c r="B30" s="10" t="inlineStr">
        <is>
          <t>Consulenza medica urgente 24h</t>
        </is>
      </c>
      <c r="C30" s="10" t="inlineStr">
        <is>
          <t>Operatori in inglese</t>
        </is>
      </c>
    </row>
    <row r="31">
      <c r="A31" s="10" t="inlineStr">
        <is>
          <t>+81-3-3501-0110</t>
        </is>
      </c>
      <c r="B31" s="10" t="inlineStr">
        <is>
          <t>Ambasciata d'Italia a Tokyo</t>
        </is>
      </c>
      <c r="C31" s="10" t="inlineStr">
        <is>
          <t>2-11-3 Mita, Meguro-ku</t>
        </is>
      </c>
    </row>
    <row r="32">
      <c r="A32" s="10" t="inlineStr">
        <is>
          <t>+81-6-6226-3100</t>
        </is>
      </c>
      <c r="B32" s="10" t="inlineStr">
        <is>
          <t>Consolato onorario Osaka</t>
        </is>
      </c>
      <c r="C32" s="10" t="inlineStr">
        <is>
          <t>—</t>
        </is>
      </c>
    </row>
    <row r="33">
      <c r="A33" s="35" t="inlineStr">
        <is>
          <t>Assicurazione</t>
        </is>
      </c>
      <c r="B33" s="36" t="inlineStr">
        <is>
          <t>Heymondo — n. polizza e provider da annotare · app con chat medica 24/7</t>
        </is>
      </c>
    </row>
    <row r="35" ht="22" customHeight="1">
      <c r="A35" s="7" t="inlineStr">
        <is>
          <t xml:space="preserve">  ⚠️ ALLERGIE REBECCA — CRITICO</t>
        </is>
      </c>
    </row>
    <row r="36" ht="28" customHeight="1">
      <c r="A36" s="37" t="inlineStr">
        <is>
          <t>• SOIA (shoyu, miso, tofu, edamame, natto, dashi) — ONNIPRESENTE</t>
        </is>
      </c>
    </row>
    <row r="37" ht="28" customHeight="1">
      <c r="A37" s="37" t="inlineStr">
        <is>
          <t>• PESCE (dashi, bonito, sushi) · CROSTACEI · FRUTTA SECCA</t>
        </is>
      </c>
    </row>
    <row r="38" ht="28" customHeight="1">
      <c r="A38" s="37" t="inlineStr">
        <is>
          <t>• BANANA · FRAGOLA · KIWI · ARANCIA · NICHEL (lieve: pomodoro, spinaci, cipolla)</t>
        </is>
      </c>
    </row>
    <row r="39" ht="28" customHeight="1">
      <c r="A39" s="37" t="inlineStr">
        <is>
          <t>• Rebecca deve cucinare da sola: TUTTI gli alloggi hanno cucina.</t>
        </is>
      </c>
    </row>
    <row r="40" ht="28" customHeight="1">
      <c r="A40" s="34" t="inlineStr">
        <is>
          <t>• Sicuri: Saizeriya (pasta aglio e olio), Matsuya (gyudon senza salsa), Sukiya (riso+uovo), yakiniku (carne non marinata, sale/limone), Royal Host, Shogun Burger.</t>
        </is>
      </c>
    </row>
    <row r="41" ht="28" customHeight="1">
      <c r="A41" s="34" t="inlineStr">
        <is>
          <t>Portare SEMPRE il cartellino allergie in giapponese (plastificato).</t>
        </is>
      </c>
    </row>
    <row r="43">
      <c r="A43" s="38" t="inlineStr">
        <is>
          <t>Riferimenti nel vault: Lista Prenotazioni · Spese Reali · Allergie Alimentari Rebecca · Info pratiche · Attività e Prenotazioni · Trasferimento Bagagli (Takkyubin).</t>
        </is>
      </c>
    </row>
  </sheetData>
  <mergeCells count="15">
    <mergeCell ref="A38:F38"/>
    <mergeCell ref="A2:F2"/>
    <mergeCell ref="A41:F41"/>
    <mergeCell ref="A36:F36"/>
    <mergeCell ref="B33:F33"/>
    <mergeCell ref="A1:F1"/>
    <mergeCell ref="A37:F37"/>
    <mergeCell ref="A9:F9"/>
    <mergeCell ref="A17:F17"/>
    <mergeCell ref="A35:F35"/>
    <mergeCell ref="A4:F4"/>
    <mergeCell ref="A40:F40"/>
    <mergeCell ref="A39:F39"/>
    <mergeCell ref="A25:F25"/>
    <mergeCell ref="A43:F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285A"/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" customWidth="1" min="3" max="3"/>
    <col width="20" customWidth="1" min="4" max="4"/>
    <col width="4" customWidth="1" min="5" max="5"/>
    <col width="20" customWidth="1" min="6" max="6"/>
    <col width="4" customWidth="1" min="7" max="7"/>
    <col width="18" customWidth="1" min="8" max="8"/>
    <col width="4" customWidth="1" min="9" max="9"/>
    <col width="16" customWidth="1" min="10" max="10"/>
    <col width="4" customWidth="1" min="11" max="11"/>
    <col width="14" customWidth="1" min="12" max="12"/>
    <col width="4" customWidth="1" min="13" max="13"/>
    <col width="18" customWidth="1" min="14" max="14"/>
  </cols>
  <sheetData>
    <row r="1" ht="38" customHeight="1">
      <c r="A1" s="1" t="inlineStr">
        <is>
          <t>CONFIG — Fonte unica di verita'</t>
        </is>
      </c>
    </row>
    <row r="2" ht="18" customHeight="1">
      <c r="A2" s="2" t="inlineStr">
        <is>
          <t>Modifica SOLO questo foglio: date, tasso, persone, liste e budget alimentano tutte le formule del workbook.</t>
        </is>
      </c>
    </row>
    <row r="4" ht="22" customHeight="1">
      <c r="A4" s="7" t="inlineStr">
        <is>
          <t xml:space="preserve">  VIAGGIO</t>
        </is>
      </c>
    </row>
    <row r="5">
      <c r="A5" s="39" t="inlineStr">
        <is>
          <t>Nome viaggio</t>
        </is>
      </c>
      <c r="B5" s="10" t="inlineStr">
        <is>
          <t>Giappone 2026 — 23 Ott / 6 Nov</t>
        </is>
      </c>
    </row>
    <row r="6">
      <c r="A6" s="39" t="inlineStr">
        <is>
          <t>Data partenza</t>
        </is>
      </c>
      <c r="B6" s="21" t="n">
        <v>46318</v>
      </c>
    </row>
    <row r="7">
      <c r="A7" s="39" t="inlineStr">
        <is>
          <t>Data ritorno</t>
        </is>
      </c>
      <c r="B7" s="21" t="n">
        <v>46332</v>
      </c>
    </row>
    <row r="8">
      <c r="A8" s="39" t="inlineStr">
        <is>
          <t>Ultimo giorno (rientro)</t>
        </is>
      </c>
      <c r="B8" s="21" t="n">
        <v>46333</v>
      </c>
    </row>
    <row r="9">
      <c r="A9" s="39" t="inlineStr">
        <is>
          <t>N° persone</t>
        </is>
      </c>
      <c r="B9" s="10">
        <f>COUNTA(B15:B19)</f>
        <v/>
      </c>
    </row>
    <row r="10">
      <c r="A10" s="39" t="inlineStr">
        <is>
          <t>Tasso di cambio (1 € = ? ¥)</t>
        </is>
      </c>
      <c r="B10" s="10" t="n">
        <v>184</v>
      </c>
    </row>
    <row r="11">
      <c r="A11" s="39" t="inlineStr">
        <is>
          <t>Budget target / persona (€)</t>
        </is>
      </c>
      <c r="B11" s="10" t="n">
        <v>2875</v>
      </c>
    </row>
    <row r="12">
      <c r="A12" s="39" t="inlineStr">
        <is>
          <t>Valuta base</t>
        </is>
      </c>
      <c r="B12" s="10" t="inlineStr">
        <is>
          <t>EUR</t>
        </is>
      </c>
    </row>
    <row r="14" ht="22" customHeight="1">
      <c r="A14" s="7" t="inlineStr">
        <is>
          <t xml:space="preserve">  PERSONE</t>
        </is>
      </c>
    </row>
    <row r="15">
      <c r="A15" s="40" t="inlineStr">
        <is>
          <t>Persona 1</t>
        </is>
      </c>
      <c r="B15" s="30" t="inlineStr">
        <is>
          <t>Lorenzo</t>
        </is>
      </c>
    </row>
    <row r="16">
      <c r="A16" s="40" t="inlineStr">
        <is>
          <t>Persona 2</t>
        </is>
      </c>
      <c r="B16" s="30" t="inlineStr">
        <is>
          <t>Davide</t>
        </is>
      </c>
    </row>
    <row r="17">
      <c r="A17" s="40" t="inlineStr">
        <is>
          <t>Persona 3</t>
        </is>
      </c>
      <c r="B17" s="30" t="inlineStr">
        <is>
          <t>Rebecca</t>
        </is>
      </c>
    </row>
    <row r="18">
      <c r="A18" s="40" t="inlineStr">
        <is>
          <t>Persona 4</t>
        </is>
      </c>
      <c r="B18" s="30" t="inlineStr"/>
    </row>
    <row r="19">
      <c r="A19" s="40" t="inlineStr">
        <is>
          <t>Persona 5</t>
        </is>
      </c>
      <c r="B19" s="30" t="inlineStr"/>
    </row>
    <row r="34" ht="22" customHeight="1">
      <c r="A34" s="7" t="inlineStr">
        <is>
          <t xml:space="preserve">  BUDGET PER CATEGORIA (€ / persona)</t>
        </is>
      </c>
    </row>
    <row r="35">
      <c r="A35" s="8" t="inlineStr">
        <is>
          <t>Categoria</t>
        </is>
      </c>
      <c r="B35" s="8" t="inlineStr">
        <is>
          <t>Budget €/persona</t>
        </is>
      </c>
    </row>
    <row r="36">
      <c r="A36" s="30" t="inlineStr">
        <is>
          <t>Voli</t>
        </is>
      </c>
      <c r="B36" s="26" t="n">
        <v>1096.33</v>
      </c>
    </row>
    <row r="37">
      <c r="A37" s="30" t="inlineStr">
        <is>
          <t>Alloggio</t>
        </is>
      </c>
      <c r="B37" s="26" t="n">
        <v>359.89</v>
      </c>
    </row>
    <row r="38">
      <c r="A38" s="30" t="inlineStr">
        <is>
          <t>Trasporti</t>
        </is>
      </c>
      <c r="B38" s="26" t="n">
        <v>302.57</v>
      </c>
    </row>
    <row r="39">
      <c r="A39" s="30" t="inlineStr">
        <is>
          <t>Ingressi/Attività</t>
        </is>
      </c>
      <c r="B39" s="26" t="n">
        <v>206</v>
      </c>
    </row>
    <row r="40">
      <c r="A40" s="30" t="inlineStr">
        <is>
          <t>Cibo</t>
        </is>
      </c>
      <c r="B40" s="26" t="n">
        <v>420</v>
      </c>
    </row>
    <row r="41">
      <c r="A41" s="30" t="inlineStr">
        <is>
          <t>Spese personali</t>
        </is>
      </c>
      <c r="B41" s="26" t="n">
        <v>400</v>
      </c>
    </row>
    <row r="42">
      <c r="A42" s="30" t="inlineStr">
        <is>
          <t>Souvenir</t>
        </is>
      </c>
      <c r="B42" s="26" t="n">
        <v>0</v>
      </c>
    </row>
    <row r="43">
      <c r="A43" s="30" t="inlineStr">
        <is>
          <t>Assicurazione</t>
        </is>
      </c>
      <c r="B43" s="26" t="n">
        <v>53.43</v>
      </c>
    </row>
    <row r="44">
      <c r="A44" s="30" t="inlineStr">
        <is>
          <t>eSIM</t>
        </is>
      </c>
      <c r="B44" s="26" t="n">
        <v>20</v>
      </c>
    </row>
    <row r="45">
      <c r="A45" s="30" t="inlineStr">
        <is>
          <t>Bagagli</t>
        </is>
      </c>
      <c r="B45" s="26" t="n">
        <v>17.17</v>
      </c>
    </row>
    <row r="46">
      <c r="A46" s="30" t="inlineStr">
        <is>
          <t>Extra</t>
        </is>
      </c>
      <c r="B46" s="26" t="n">
        <v>0</v>
      </c>
    </row>
    <row r="47">
      <c r="A47" s="15" t="inlineStr">
        <is>
          <t>TOTALE</t>
        </is>
      </c>
      <c r="B47" s="17">
        <f>SUM(B36:B46)</f>
        <v/>
      </c>
    </row>
    <row r="50" ht="22" customHeight="1">
      <c r="A50" s="7" t="inlineStr">
        <is>
          <t xml:space="preserve">  COME SI USA</t>
        </is>
      </c>
    </row>
    <row r="51" ht="34" customHeight="1">
      <c r="A51" s="41" t="inlineStr">
        <is>
          <t>Regola d'oro</t>
        </is>
      </c>
      <c r="B51" s="42" t="inlineStr">
        <is>
          <t>Modifica solo CONFIG (date, tasso, persone, liste, budget) e il registro SPESE. Tutto il resto e' formula: si ricalcola da solo.</t>
        </is>
      </c>
      <c r="C51" s="43" t="n"/>
      <c r="D51" s="43" t="n"/>
      <c r="E51" s="43" t="n"/>
      <c r="F51" s="43" t="n"/>
      <c r="G51" s="43" t="n"/>
      <c r="H51" s="43" t="n"/>
      <c r="I51" s="43" t="n"/>
      <c r="J51" s="43" t="n"/>
      <c r="K51" s="44" t="n"/>
    </row>
    <row r="52" ht="34" customHeight="1">
      <c r="A52" s="41" t="inlineStr">
        <is>
          <t>Aggiungere una spesa</t>
        </is>
      </c>
      <c r="B52" s="42" t="inlineStr">
        <is>
          <t>SPESE: compila Data, Categoria, Descrizione, Importo TOTALE, Valuta, poi scegli 'Pagato da'. Importo €, quota/persona e saldi si calcolano.</t>
        </is>
      </c>
      <c r="C52" s="43" t="n"/>
      <c r="D52" s="43" t="n"/>
      <c r="E52" s="43" t="n"/>
      <c r="F52" s="43" t="n"/>
      <c r="G52" s="43" t="n"/>
      <c r="H52" s="43" t="n"/>
      <c r="I52" s="43" t="n"/>
      <c r="J52" s="43" t="n"/>
      <c r="K52" s="44" t="n"/>
    </row>
    <row r="53" ht="34" customHeight="1">
      <c r="A53" s="41" t="inlineStr">
        <is>
          <t>Dividere una spesa</t>
        </is>
      </c>
      <c r="B53" s="42" t="inlineStr">
        <is>
          <t>Stile Tricount: spunta con 'X' le colonne delle persone che dividono la spesa (una, due o tutte). La quota/persona è sempre importo totale ÷ numero di spuntati.</t>
        </is>
      </c>
      <c r="C53" s="43" t="n"/>
      <c r="D53" s="43" t="n"/>
      <c r="E53" s="43" t="n"/>
      <c r="F53" s="43" t="n"/>
      <c r="G53" s="43" t="n"/>
      <c r="H53" s="43" t="n"/>
      <c r="I53" s="43" t="n"/>
      <c r="J53" s="43" t="n"/>
      <c r="K53" s="44" t="n"/>
    </row>
    <row r="54" ht="34" customHeight="1">
      <c r="A54" s="41" t="inlineStr">
        <is>
          <t>Prenotazioni</t>
        </is>
      </c>
      <c r="B54" s="42" t="inlineStr">
        <is>
          <t>PRENOTAZIONI e' solo per logistica e scadenze (canale, costo, stato, codice conferma). Chi ha pagato e come si divide si registra in SPESE.</t>
        </is>
      </c>
      <c r="C54" s="43" t="n"/>
      <c r="D54" s="43" t="n"/>
      <c r="E54" s="43" t="n"/>
      <c r="F54" s="43" t="n"/>
      <c r="G54" s="43" t="n"/>
      <c r="H54" s="43" t="n"/>
      <c r="I54" s="43" t="n"/>
      <c r="J54" s="43" t="n"/>
      <c r="K54" s="44" t="n"/>
    </row>
    <row r="55" ht="34" customHeight="1">
      <c r="A55" s="41" t="inlineStr">
        <is>
          <t>Attività</t>
        </is>
      </c>
      <c r="B55" s="42" t="inlineStr">
        <is>
          <t>ATTIVITÀ: aggiorna lo Stato (Da fare / Fatto / Saltato / Opzionale). ITINERARIO mostra automaticamente quante attività per giorno sono state fatte.</t>
        </is>
      </c>
      <c r="C55" s="43" t="n"/>
      <c r="D55" s="43" t="n"/>
      <c r="E55" s="43" t="n"/>
      <c r="F55" s="43" t="n"/>
      <c r="G55" s="43" t="n"/>
      <c r="H55" s="43" t="n"/>
      <c r="I55" s="43" t="n"/>
      <c r="J55" s="43" t="n"/>
      <c r="K55" s="44" t="n"/>
    </row>
    <row r="56" ht="34" customHeight="1">
      <c r="A56" s="41" t="inlineStr">
        <is>
          <t>Saldi</t>
        </is>
      </c>
      <c r="B56" s="42" t="inlineStr">
        <is>
          <t>SALDI conta solo le spese con 'Pagato da' compilato: saldo positivo = deve ricevere, negativo = deve pagare. Le spese senza pagante sono mostrate a parte.</t>
        </is>
      </c>
      <c r="C56" s="43" t="n"/>
      <c r="D56" s="43" t="n"/>
      <c r="E56" s="43" t="n"/>
      <c r="F56" s="43" t="n"/>
      <c r="G56" s="43" t="n"/>
      <c r="H56" s="43" t="n"/>
      <c r="I56" s="43" t="n"/>
      <c r="J56" s="43" t="n"/>
      <c r="K56" s="44" t="n"/>
    </row>
    <row r="57" ht="34" customHeight="1">
      <c r="A57" s="41" t="inlineStr">
        <is>
          <t>Estendere</t>
        </is>
      </c>
      <c r="B57" s="42" t="inlineStr">
        <is>
          <t>Aggiungi voci in fondo alle liste del CONFIG: i menu a tendina si allargano da soli (range dinamici). I fogli SPESE/PRENOTAZIONI hanno righe con formule gia' pronte.</t>
        </is>
      </c>
      <c r="C57" s="43" t="n"/>
      <c r="D57" s="43" t="n"/>
      <c r="E57" s="43" t="n"/>
      <c r="F57" s="43" t="n"/>
      <c r="G57" s="43" t="n"/>
      <c r="H57" s="43" t="n"/>
      <c r="I57" s="43" t="n"/>
      <c r="J57" s="43" t="n"/>
      <c r="K57" s="44" t="n"/>
    </row>
    <row r="58" ht="34" customHeight="1">
      <c r="A58" s="41" t="inlineStr">
        <is>
          <t>Rigenerare</t>
        </is>
      </c>
      <c r="B58" s="42" t="inlineStr">
        <is>
          <t>python _website/scripts/generate-companion-workbook.py — ricrea il file dai dati sorgente.</t>
        </is>
      </c>
      <c r="C58" s="43" t="n"/>
      <c r="D58" s="43" t="n"/>
      <c r="E58" s="43" t="n"/>
      <c r="F58" s="43" t="n"/>
      <c r="G58" s="43" t="n"/>
      <c r="H58" s="43" t="n"/>
      <c r="I58" s="43" t="n"/>
      <c r="J58" s="43" t="n"/>
      <c r="K58" s="44" t="n"/>
    </row>
    <row r="59" ht="34" customHeight="1">
      <c r="A59" s="41" t="inlineStr">
        <is>
          <t>Download</t>
        </is>
      </c>
      <c r="B59" s="42" t="inlineStr">
        <is>
          <t>https://lorenzopolito.github.io/Travel-Vault/downloads/Giappone-2026-Companion.xlsx</t>
        </is>
      </c>
      <c r="C59" s="43" t="n"/>
      <c r="D59" s="43" t="n"/>
      <c r="E59" s="43" t="n"/>
      <c r="F59" s="43" t="n"/>
      <c r="G59" s="43" t="n"/>
      <c r="H59" s="43" t="n"/>
      <c r="I59" s="43" t="n"/>
      <c r="J59" s="43" t="n"/>
      <c r="K59" s="44" t="n"/>
    </row>
    <row r="60" ht="22" customHeight="1">
      <c r="A60" s="7" t="inlineStr">
        <is>
          <t xml:space="preserve">  LISTE (menu a tendina)</t>
        </is>
      </c>
    </row>
    <row r="61">
      <c r="A61" s="8" t="inlineStr">
        <is>
          <t>Categorie</t>
        </is>
      </c>
      <c r="D61" s="8" t="inlineStr">
        <is>
          <t>Stati</t>
        </is>
      </c>
      <c r="F61" s="8" t="inlineStr">
        <is>
          <t>Partecipa</t>
        </is>
      </c>
      <c r="H61" s="8" t="inlineStr">
        <is>
          <t>Priorita'</t>
        </is>
      </c>
      <c r="J61" s="8" t="inlineStr">
        <is>
          <t>Valute</t>
        </is>
      </c>
      <c r="L61" s="8" t="inlineStr">
        <is>
          <t>Tipo</t>
        </is>
      </c>
      <c r="N61" s="8" t="inlineStr">
        <is>
          <t>Stato attività</t>
        </is>
      </c>
    </row>
    <row r="62">
      <c r="A62" s="30" t="inlineStr">
        <is>
          <t>Voli</t>
        </is>
      </c>
      <c r="D62" s="30" t="inlineStr">
        <is>
          <t>Da fare</t>
        </is>
      </c>
      <c r="F62" s="30" t="inlineStr">
        <is>
          <t>X</t>
        </is>
      </c>
      <c r="H62" s="30" t="inlineStr">
        <is>
          <t>Alta</t>
        </is>
      </c>
      <c r="J62" s="30" t="inlineStr">
        <is>
          <t>EUR</t>
        </is>
      </c>
      <c r="L62" s="30" t="inlineStr">
        <is>
          <t>A testa</t>
        </is>
      </c>
      <c r="N62" s="30" t="inlineStr">
        <is>
          <t>Da fare</t>
        </is>
      </c>
    </row>
    <row r="63">
      <c r="A63" s="30" t="inlineStr">
        <is>
          <t>Alloggio</t>
        </is>
      </c>
      <c r="D63" s="30" t="inlineStr">
        <is>
          <t>In corso</t>
        </is>
      </c>
      <c r="H63" s="30" t="inlineStr">
        <is>
          <t>Media</t>
        </is>
      </c>
      <c r="J63" s="30" t="inlineStr">
        <is>
          <t>JPY</t>
        </is>
      </c>
      <c r="L63" s="30" t="inlineStr">
        <is>
          <t>Totale</t>
        </is>
      </c>
      <c r="N63" s="30" t="inlineStr">
        <is>
          <t>Fatto</t>
        </is>
      </c>
    </row>
    <row r="64">
      <c r="A64" s="30" t="inlineStr">
        <is>
          <t>Trasporti</t>
        </is>
      </c>
      <c r="D64" s="30" t="inlineStr">
        <is>
          <t>Prenotato</t>
        </is>
      </c>
      <c r="H64" s="30" t="inlineStr">
        <is>
          <t>Bassa</t>
        </is>
      </c>
      <c r="N64" s="30" t="inlineStr">
        <is>
          <t>Saltato</t>
        </is>
      </c>
    </row>
    <row r="65">
      <c r="A65" s="30" t="inlineStr">
        <is>
          <t>Ingressi/Attività</t>
        </is>
      </c>
      <c r="D65" s="30" t="inlineStr">
        <is>
          <t>Pagato</t>
        </is>
      </c>
      <c r="N65" s="30" t="inlineStr">
        <is>
          <t>Opzionale</t>
        </is>
      </c>
    </row>
    <row r="66">
      <c r="A66" s="30" t="inlineStr">
        <is>
          <t>Cibo</t>
        </is>
      </c>
      <c r="D66" s="30" t="inlineStr">
        <is>
          <t>Annullato</t>
        </is>
      </c>
    </row>
    <row r="67">
      <c r="A67" s="30" t="inlineStr">
        <is>
          <t>Spese personali</t>
        </is>
      </c>
      <c r="D67" s="30" t="inlineStr">
        <is>
          <t>Opzionale</t>
        </is>
      </c>
    </row>
    <row r="68">
      <c r="A68" s="30" t="inlineStr">
        <is>
          <t>Souvenir</t>
        </is>
      </c>
    </row>
    <row r="69">
      <c r="A69" s="30" t="inlineStr">
        <is>
          <t>Assicurazione</t>
        </is>
      </c>
    </row>
    <row r="70">
      <c r="A70" s="30" t="inlineStr">
        <is>
          <t>eSIM</t>
        </is>
      </c>
    </row>
    <row r="71">
      <c r="A71" s="30" t="inlineStr">
        <is>
          <t>Bagagli</t>
        </is>
      </c>
    </row>
    <row r="72">
      <c r="A72" s="30" t="inlineStr">
        <is>
          <t>Extra</t>
        </is>
      </c>
    </row>
  </sheetData>
  <mergeCells count="16">
    <mergeCell ref="A34:K34"/>
    <mergeCell ref="A50:K50"/>
    <mergeCell ref="A4:K4"/>
    <mergeCell ref="B54:K54"/>
    <mergeCell ref="B57:K57"/>
    <mergeCell ref="B56:K56"/>
    <mergeCell ref="B58:K58"/>
    <mergeCell ref="B52:K52"/>
    <mergeCell ref="B53:K53"/>
    <mergeCell ref="A2:K2"/>
    <mergeCell ref="B55:K55"/>
    <mergeCell ref="A60:K60"/>
    <mergeCell ref="B51:K51"/>
    <mergeCell ref="A14:K14"/>
    <mergeCell ref="A1:K1"/>
    <mergeCell ref="B59:K5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Travel-Vault</dc:creator>
  <dc:title>Giappone 2026 — Companion</dc:title>
  <dc:description>Tracker itinerario, prenotazioni, spese e scadenze — Giappone 23 ott / 6 nov 2026</dc:description>
  <dcterms:created xsi:type="dcterms:W3CDTF">2026-09-12T13:32:03Z</dcterms:created>
  <dcterms:modified xsi:type="dcterms:W3CDTF">2026-09-12T13:32:04Z</dcterms:modified>
</cp:coreProperties>
</file>